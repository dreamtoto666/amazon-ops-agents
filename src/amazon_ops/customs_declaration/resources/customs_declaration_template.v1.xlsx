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dministrator\Desktop\"/>
    </mc:Choice>
  </mc:AlternateContent>
  <bookViews>
    <workbookView windowWidth="27945" windowHeight="12375"/>
  </bookViews>
  <sheets>
    <sheet name="报关单" sheetId="1" r:id="rId1"/>
    <sheet name="发票" sheetId="3" r:id="rId2"/>
    <sheet name="箱单" sheetId="4" r:id="rId3"/>
    <sheet name="合同" sheetId="2" r:id="rId4"/>
    <sheet name="申报要素" sheetId="6" r:id="rId5"/>
    <sheet name="填制规范" sheetId="7" r:id="rId6"/>
  </sheets>
  <externalReferences>
    <externalReference r:id="rId7"/>
  </externalReferences>
  <definedNames>
    <definedName name="_xlnm.Print_Area" localSheetId="0">报关单!$A$1:$S$34</definedName>
    <definedName name="_xlnm.Print_Area" localSheetId="1">发票!$A$1:$H$27</definedName>
    <definedName name="_xlnm.Print_Area" localSheetId="3">合同!$A$1:$I$60</definedName>
    <definedName name="_xlnm.Print_Area" localSheetId="4">申报要素!$A$7:$H$24</definedName>
    <definedName name="_xlnm.Print_Area" localSheetId="2">箱单!$A$1:$G$28</definedName>
    <definedName name="preferredAttributePTDMap">[1]AttributePTDMAP!$A$203:$B$204</definedName>
    <definedName name="attributeMapFeedProductType">[1]AttributePTDMAP!$B$1</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<sst xmlns="http://schemas.openxmlformats.org/spreadsheetml/2006/main" count="332" uniqueCount="277">
  <si>
    <t>中华人民共和国海关出口货物报关单</t>
  </si>
  <si>
    <t>预录入编号：</t>
  </si>
  <si>
    <t>申报口岸:</t>
  </si>
  <si>
    <t>海关编号:</t>
  </si>
  <si>
    <t>境内发货人</t>
  </si>
  <si>
    <t>91410100MAKBTACC38</t>
  </si>
  <si>
    <t>出境关别</t>
  </si>
  <si>
    <t>(    )</t>
  </si>
  <si>
    <t>出口日期</t>
  </si>
  <si>
    <t>申报日期</t>
  </si>
  <si>
    <t>备案号</t>
  </si>
  <si>
    <t>签约地点：</t>
  </si>
  <si>
    <t>XX</t>
  </si>
  <si>
    <t>郑州嘉可文贸易有限公司</t>
  </si>
  <si>
    <t>成交方式:</t>
  </si>
  <si>
    <t>ZHENGZHOU</t>
  </si>
  <si>
    <t>付款条件：</t>
  </si>
  <si>
    <t>电汇</t>
  </si>
  <si>
    <t>境外收货人</t>
  </si>
  <si>
    <t>AEO：</t>
  </si>
  <si>
    <r>
      <rPr>
        <sz val="10"/>
        <rFont val="宋体"/>
        <charset val="134"/>
      </rPr>
      <t>N</t>
    </r>
    <r>
      <rPr>
        <sz val="10"/>
        <rFont val="宋体"/>
        <charset val="134"/>
      </rPr>
      <t>O</t>
    </r>
  </si>
  <si>
    <t>运输方式</t>
  </si>
  <si>
    <t>运输工具名称及航次号</t>
  </si>
  <si>
    <t>提运单号</t>
  </si>
  <si>
    <t>卖方公司：</t>
  </si>
  <si>
    <t>Jiakewen Trading Limited</t>
  </si>
  <si>
    <t>水路运输</t>
  </si>
  <si>
    <t>卖方地址：</t>
  </si>
  <si>
    <t>河南省郑州市高新技术产业开发区冬青街26号3号楼2层9号237-1</t>
  </si>
  <si>
    <t>生产销售单位</t>
  </si>
  <si>
    <t>监管方式</t>
  </si>
  <si>
    <t>征免性质</t>
  </si>
  <si>
    <t>许可证号</t>
  </si>
  <si>
    <t>卖方电话：</t>
  </si>
  <si>
    <t>XXXX</t>
  </si>
  <si>
    <t>卖方传真：</t>
  </si>
  <si>
    <t>XXXXXX</t>
  </si>
  <si>
    <t>0110</t>
  </si>
  <si>
    <t>一般征税</t>
  </si>
  <si>
    <t>买方公司：</t>
  </si>
  <si>
    <t>合同协议号</t>
  </si>
  <si>
    <t>贸易国(地区)</t>
  </si>
  <si>
    <t>运抵国(地区)</t>
  </si>
  <si>
    <t>指运港</t>
  </si>
  <si>
    <t>离境口岸</t>
  </si>
  <si>
    <t>买方地址：</t>
  </si>
  <si>
    <t>香港尖沙咀科學館道 14 號新文華中心 B 座 7 
樓 701 室 108B 單位</t>
  </si>
  <si>
    <t>2608300077</t>
  </si>
  <si>
    <t>香港</t>
  </si>
  <si>
    <t>美国</t>
  </si>
  <si>
    <t>买方电话：</t>
  </si>
  <si>
    <t>买方传真：</t>
  </si>
  <si>
    <t>包装种类</t>
  </si>
  <si>
    <t>件数</t>
  </si>
  <si>
    <t>毛重（千克）</t>
  </si>
  <si>
    <t>净重（千克）</t>
  </si>
  <si>
    <t>成交方式</t>
  </si>
  <si>
    <t>(  )</t>
  </si>
  <si>
    <t>运费</t>
  </si>
  <si>
    <t>保费</t>
  </si>
  <si>
    <t>杂费</t>
  </si>
  <si>
    <t>报关简称：</t>
  </si>
  <si>
    <t>报关全称：</t>
  </si>
  <si>
    <t>纸箱</t>
  </si>
  <si>
    <t>C&amp;F</t>
  </si>
  <si>
    <t>USD/0/3</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</si>
  <si>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</si>
  <si>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</si>
  <si>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</si>
  <si>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</si>
  <si>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</si>
  <si>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</si>
  <si>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</si>
  <si>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</si>
  <si>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</si>
  <si>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</si>
  <si>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</si>
  <si>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</si>
  <si>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</si>
  <si>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</si>
  <si>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</si>
  <si>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</si>
  <si>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r>
      <rPr>
        <sz val="10"/>
        <color rgb="FFFF0000"/>
        <rFont val="宋体"/>
        <charset val="134"/>
      </rP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</si>
  <si>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</si>
  <si>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</si>
  <si>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</si>
  <si>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</si>
  <si>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</si>
  <si>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</si>
  <si>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</si>
  <si>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</si>
  <si>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</si>
  <si>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</si>
  <si>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</si>
  <si>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</si>
  <si>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</si>
  <si>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</si>
  <si>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</si>
  <si>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</si>
  <si>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</si>
  <si>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中国</t>
  </si>
  <si>
    <t>河北邢台</t>
  </si>
  <si>
    <t>照章征税</t>
  </si>
  <si>
    <t xml:space="preserve"> </t>
  </si>
  <si>
    <t>表格制作单位：深圳市长来运报关有限公司QQ1152276688</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</si>
  <si>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</si>
  <si>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</si>
  <si>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</si>
  <si>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</si>
  <si>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</si>
  <si>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</si>
  <si>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</si>
  <si>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</si>
  <si>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</si>
  <si>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</si>
  <si>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</si>
  <si>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</si>
  <si>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</si>
  <si>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</si>
  <si>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</si>
  <si>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134"/>
      </rPr>
      <t xml:space="preserve">
Date</t>
    </r>
    <r>
      <rPr>
        <sz val="12"/>
        <rFont val="宋体"/>
        <charset val="134"/>
      </rPr>
      <t>：</t>
    </r>
  </si>
  <si>
    <r>
      <rPr>
        <sz val="12"/>
        <rFont val="宋体"/>
        <charset val="134"/>
      </rPr>
      <t>发票编号</t>
    </r>
    <r>
      <rPr>
        <sz val="12"/>
        <rFont val="Times New Roman"/>
        <charset val="134"/>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</si>
  <si>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</si>
  <si>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134"/>
      </rPr>
      <t xml:space="preserve">
Contract No:</t>
    </r>
  </si>
  <si>
    <t xml:space="preserve">
</t>
  </si>
  <si>
    <r>
      <rPr>
        <sz val="12"/>
        <rFont val="宋体"/>
        <charset val="134"/>
      </rPr>
      <t>船名</t>
    </r>
    <r>
      <rPr>
        <sz val="12"/>
        <rFont val="Times New Roman"/>
        <charset val="134"/>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</si>
  <si>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</si>
  <si>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</si>
  <si>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</si>
  <si>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</si>
  <si>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</si>
  <si>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</si>
  <si>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</si>
  <si>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</si>
  <si>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</si>
  <si>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134"/>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134"/>
      </rPr>
      <t>CONTRACT</t>
    </r>
  </si>
  <si>
    <r>
      <rPr>
        <sz val="11"/>
        <rFont val="Times New Roman"/>
        <charset val="134"/>
      </rPr>
      <t xml:space="preserve">       </t>
    </r>
    <r>
      <rPr>
        <sz val="11"/>
        <rFont val="宋体"/>
        <charset val="134"/>
      </rPr>
      <t>卖</t>
    </r>
    <r>
      <rPr>
        <sz val="11"/>
        <rFont val="Times New Roman"/>
        <charset val="134"/>
      </rPr>
      <t xml:space="preserve">    </t>
    </r>
    <r>
      <rPr>
        <sz val="11"/>
        <rFont val="宋体"/>
        <charset val="134"/>
      </rPr>
      <t>方：</t>
    </r>
  </si>
  <si>
    <t xml:space="preserve">    Sellers:</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</si>
  <si>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</si>
  <si>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Address:  </t>
  </si>
  <si>
    <r>
      <rPr>
        <sz val="11"/>
        <rFont val="Times New Roman"/>
        <charset val="134"/>
      </rPr>
      <t xml:space="preserve">    </t>
    </r>
    <r>
      <rPr>
        <sz val="11"/>
        <rFont val="宋体"/>
        <charset val="134"/>
      </rPr>
      <t>合同号码</t>
    </r>
  </si>
  <si>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</si>
  <si>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t>传  真</t>
  </si>
  <si>
    <t xml:space="preserve">  Contract No:</t>
  </si>
  <si>
    <t xml:space="preserve">    TEL:</t>
  </si>
  <si>
    <t>FAX:</t>
  </si>
  <si>
    <r>
      <rPr>
        <sz val="11"/>
        <rFont val="Times New Roman"/>
        <charset val="134"/>
      </rPr>
      <t xml:space="preserve">    </t>
    </r>
    <r>
      <rPr>
        <sz val="11"/>
        <rFont val="宋体"/>
        <charset val="134"/>
      </rPr>
      <t>日</t>
    </r>
    <r>
      <rPr>
        <sz val="11"/>
        <rFont val="Times New Roman"/>
        <charset val="134"/>
      </rPr>
      <t xml:space="preserve">     </t>
    </r>
    <r>
      <rPr>
        <sz val="11"/>
        <rFont val="宋体"/>
        <charset val="134"/>
      </rPr>
      <t>期</t>
    </r>
  </si>
  <si>
    <r>
      <rPr>
        <sz val="11"/>
        <rFont val="宋体"/>
        <charset val="134"/>
      </rPr>
      <t xml:space="preserve">  买</t>
    </r>
    <r>
      <rPr>
        <sz val="11"/>
        <rFont val="Times New Roman"/>
        <charset val="134"/>
      </rPr>
      <t xml:space="preserve">  </t>
    </r>
    <r>
      <rPr>
        <sz val="11"/>
        <rFont val="宋体"/>
        <charset val="134"/>
      </rPr>
      <t>方：</t>
    </r>
  </si>
  <si>
    <t xml:space="preserve">    Date:</t>
  </si>
  <si>
    <r>
      <rPr>
        <sz val="11"/>
        <rFont val="Times New Roman"/>
        <charset val="134"/>
      </rPr>
      <t xml:space="preserve">  Buyers</t>
    </r>
    <r>
      <rPr>
        <sz val="11"/>
        <rFont val="宋体"/>
        <charset val="134"/>
      </rPr>
      <t>：</t>
    </r>
  </si>
  <si>
    <t>签约地点</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</si>
  <si>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</si>
  <si>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Signed at:</t>
  </si>
  <si>
    <t>Address:</t>
  </si>
  <si>
    <t>成交方式：
Trade Term:</t>
  </si>
  <si>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</si>
  <si>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r>
      <rPr>
        <sz val="10"/>
        <rFont val="Times New Roman"/>
        <charset val="134"/>
      </rPr>
      <t xml:space="preserve">  </t>
    </r>
    <r>
      <rPr>
        <sz val="10"/>
        <rFont val="宋体"/>
        <charset val="134"/>
      </rPr>
      <t>传</t>
    </r>
    <r>
      <rPr>
        <sz val="10"/>
        <rFont val="Times New Roman"/>
        <charset val="134"/>
      </rPr>
      <t xml:space="preserve">  </t>
    </r>
    <r>
      <rPr>
        <sz val="10"/>
        <rFont val="宋体"/>
        <charset val="134"/>
      </rPr>
      <t>真</t>
    </r>
    <r>
      <rPr>
        <sz val="10"/>
        <rFont val="Times New Roman"/>
        <charset val="134"/>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</si>
  <si>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</si>
  <si>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</si>
  <si>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</si>
  <si>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134"/>
      </rPr>
      <t>(1)</t>
    </r>
    <r>
      <rPr>
        <sz val="11"/>
        <rFont val="宋体"/>
        <charset val="134"/>
      </rPr>
      <t>货物名称</t>
    </r>
  </si>
  <si>
    <r>
      <rPr>
        <sz val="11"/>
        <rFont val="Times New Roman"/>
        <charset val="134"/>
      </rPr>
      <t xml:space="preserve">(2) </t>
    </r>
    <r>
      <rPr>
        <sz val="11"/>
        <rFont val="宋体"/>
        <charset val="134"/>
      </rPr>
      <t>数</t>
    </r>
    <r>
      <rPr>
        <sz val="11"/>
        <rFont val="Times New Roman"/>
        <charset val="134"/>
      </rPr>
      <t xml:space="preserve"> </t>
    </r>
    <r>
      <rPr>
        <sz val="11"/>
        <rFont val="宋体"/>
        <charset val="134"/>
      </rPr>
      <t>量</t>
    </r>
  </si>
  <si>
    <r>
      <rPr>
        <sz val="11"/>
        <rFont val="Times New Roman"/>
        <charset val="134"/>
      </rPr>
      <t>(3)</t>
    </r>
    <r>
      <rPr>
        <sz val="11"/>
        <rFont val="宋体"/>
        <charset val="134"/>
      </rPr>
      <t>单</t>
    </r>
    <r>
      <rPr>
        <sz val="11"/>
        <rFont val="Times New Roman"/>
        <charset val="134"/>
      </rPr>
      <t xml:space="preserve"> </t>
    </r>
    <r>
      <rPr>
        <sz val="11"/>
        <rFont val="宋体"/>
        <charset val="134"/>
      </rPr>
      <t>位</t>
    </r>
  </si>
  <si>
    <r>
      <rPr>
        <sz val="11"/>
        <rFont val="Times New Roman"/>
        <charset val="134"/>
      </rPr>
      <t>(4)</t>
    </r>
    <r>
      <rPr>
        <sz val="11"/>
        <rFont val="宋体"/>
        <charset val="134"/>
      </rPr>
      <t>单价</t>
    </r>
  </si>
  <si>
    <r>
      <rPr>
        <sz val="11"/>
        <rFont val="Times New Roman"/>
        <charset val="134"/>
      </rPr>
      <t xml:space="preserve"> (5)   </t>
    </r>
    <r>
      <rPr>
        <sz val="11"/>
        <rFont val="宋体"/>
        <charset val="134"/>
      </rPr>
      <t>金</t>
    </r>
    <r>
      <rPr>
        <sz val="11"/>
        <rFont val="Times New Roman"/>
        <charset val="134"/>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</si>
  <si>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</si>
  <si>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</si>
  <si>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</si>
  <si>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</si>
  <si>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</si>
  <si>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134"/>
      </rPr>
      <t xml:space="preserve"> 2 %</t>
    </r>
    <r>
      <rPr>
        <sz val="10"/>
        <rFont val="宋体"/>
        <charset val="134"/>
      </rPr>
      <t>的增减。</t>
    </r>
  </si>
  <si>
    <r>
      <rPr>
        <b/>
        <sz val="12"/>
        <rFont val="Times New Roman"/>
        <charset val="134"/>
      </rPr>
      <t xml:space="preserve">   </t>
    </r>
    <r>
      <rPr>
        <b/>
        <sz val="12"/>
        <rFont val="宋体"/>
        <charset val="134"/>
      </rPr>
      <t>总</t>
    </r>
    <r>
      <rPr>
        <b/>
        <sz val="12"/>
        <rFont val="Times New Roman"/>
        <charset val="134"/>
      </rPr>
      <t xml:space="preserve">      </t>
    </r>
    <r>
      <rPr>
        <b/>
        <sz val="12"/>
        <rFont val="宋体"/>
        <charset val="134"/>
      </rPr>
      <t>值</t>
    </r>
  </si>
  <si>
    <t xml:space="preserve">2  % more or less both in amount and quantity allowed.                    </t>
  </si>
  <si>
    <t>Total Amount:</t>
  </si>
  <si>
    <t>(6)合同总值（大写）</t>
  </si>
  <si>
    <r>
      <rPr>
        <sz val="12"/>
        <rFont val="Times New Roman"/>
        <charset val="134"/>
      </rPr>
      <t>(7)</t>
    </r>
    <r>
      <rPr>
        <sz val="12"/>
        <rFont val="宋体"/>
        <charset val="134"/>
      </rPr>
      <t>包装及唛头</t>
    </r>
  </si>
  <si>
    <r>
      <rPr>
        <sz val="10"/>
        <rFont val="Times New Roman"/>
        <charset val="134"/>
      </rPr>
      <t xml:space="preserve">Packing and shipping Marks:  </t>
    </r>
    <r>
      <rPr>
        <sz val="12"/>
        <rFont val="Times New Roman"/>
        <charset val="134"/>
      </rPr>
      <t xml:space="preserve"> </t>
    </r>
  </si>
  <si>
    <r>
      <rPr>
        <sz val="12"/>
        <rFont val="Times New Roman"/>
        <charset val="134"/>
      </rPr>
      <t>(8)</t>
    </r>
    <r>
      <rPr>
        <sz val="12"/>
        <rFont val="宋体"/>
        <charset val="134"/>
      </rPr>
      <t>装运期</t>
    </r>
  </si>
  <si>
    <t xml:space="preserve">Time of Shipment:    </t>
  </si>
  <si>
    <t>之前</t>
  </si>
  <si>
    <r>
      <rPr>
        <sz val="12"/>
        <rFont val="Times New Roman"/>
        <charset val="134"/>
      </rPr>
      <t>(9)</t>
    </r>
    <r>
      <rPr>
        <sz val="12"/>
        <rFont val="宋体"/>
        <charset val="134"/>
      </rPr>
      <t>装运口岸和目的地</t>
    </r>
    <r>
      <rPr>
        <sz val="12"/>
        <rFont val="Times New Roman"/>
        <charset val="134"/>
      </rPr>
      <t xml:space="preserve">           </t>
    </r>
    <r>
      <rPr>
        <sz val="12"/>
        <rFont val="宋体"/>
        <charset val="134"/>
      </rPr>
      <t>深圳</t>
    </r>
    <r>
      <rPr>
        <sz val="12"/>
        <rFont val="Times New Roman"/>
        <charset val="134"/>
      </rPr>
      <t>---</t>
    </r>
  </si>
  <si>
    <t>准许分批与转船。</t>
  </si>
  <si>
    <t>Loading Port &amp; Destination:From  Shenzhen-- To the United States of America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</si>
  <si>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</si>
  <si>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</si>
  <si>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</si>
  <si>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</si>
  <si>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134"/>
      </rPr>
      <t>(12)</t>
    </r>
    <r>
      <rPr>
        <sz val="12"/>
        <rFont val="宋体"/>
        <charset val="134"/>
      </rPr>
      <t>装运标记</t>
    </r>
  </si>
  <si>
    <t>Shipping Marks:</t>
  </si>
  <si>
    <r>
      <rPr>
        <sz val="12"/>
        <rFont val="Times New Roman"/>
        <charset val="134"/>
      </rPr>
      <t xml:space="preserve">    </t>
    </r>
    <r>
      <rPr>
        <sz val="12"/>
        <rFont val="宋体"/>
        <charset val="134"/>
      </rPr>
      <t>买</t>
    </r>
    <r>
      <rPr>
        <sz val="12"/>
        <rFont val="Times New Roman"/>
        <charset val="134"/>
      </rPr>
      <t xml:space="preserve">  </t>
    </r>
    <r>
      <rPr>
        <sz val="12"/>
        <rFont val="宋体"/>
        <charset val="134"/>
      </rPr>
      <t>方</t>
    </r>
  </si>
  <si>
    <r>
      <rPr>
        <sz val="12"/>
        <rFont val="Times New Roman"/>
        <charset val="134"/>
      </rPr>
      <t xml:space="preserve">    </t>
    </r>
    <r>
      <rPr>
        <sz val="12"/>
        <rFont val="宋体"/>
        <charset val="134"/>
      </rPr>
      <t>卖</t>
    </r>
    <r>
      <rPr>
        <sz val="12"/>
        <rFont val="Times New Roman"/>
        <charset val="134"/>
      </rPr>
      <t xml:space="preserve">  </t>
    </r>
    <r>
      <rPr>
        <sz val="12"/>
        <rFont val="宋体"/>
        <charset val="134"/>
      </rPr>
      <t>方</t>
    </r>
  </si>
  <si>
    <t>THE BUYERS</t>
  </si>
  <si>
    <r>
      <rPr>
        <sz val="12"/>
        <rFont val="Times New Roman"/>
        <charset val="134"/>
      </rPr>
      <t xml:space="preserve">  </t>
    </r>
    <r>
      <rPr>
        <u/>
        <sz val="12"/>
        <rFont val="Times New Roman"/>
        <charset val="134"/>
      </rPr>
      <t>THE SELLERS</t>
    </r>
  </si>
  <si>
    <t>(Authorized Signature)</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</si>
  <si>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</si>
  <si>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</si>
  <si>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</si>
  <si>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</si>
  <si>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</si>
  <si>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</si>
  <si>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</si>
  <si>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</si>
  <si>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品牌</t>
  </si>
  <si>
    <t>型号</t>
  </si>
  <si>
    <t>品牌类型</t>
  </si>
  <si>
    <t>出口享惠情况</t>
  </si>
  <si>
    <t>其他申报要素</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</si>
  <si>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</si>
  <si>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</si>
  <si>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</si>
  <si>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</si>
  <si>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</si>
  <si>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</si>
  <si>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</si>
  <si>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</si>
  <si>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rPr>
        <sz val="12"/>
        <color rgb="FFFF000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</si>
  <si>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</si>
  <si>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</si>
  <si>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</si>
  <si>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</si>
  <si>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</si>
  <si>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</si>
  <si>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</si>
  <si>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</si>
  <si>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indexed="10"/>
        <rFont val="宋体"/>
        <charset val="134"/>
      </rPr>
      <t>第一个境外</t>
    </r>
    <r>
      <rPr>
        <sz val="12"/>
        <rFont val="宋体"/>
        <charset val="134"/>
      </rPr>
      <t>装运港。</t>
    </r>
  </si>
  <si>
    <t>填报进出口货物合同（包括协议或订单）编号。未发生商业性交易的免予填报。</t>
  </si>
  <si>
    <r>
      <rPr>
        <sz val="12"/>
        <rFont val="宋体"/>
        <charset val="134"/>
      </rP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</si>
  <si>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</si>
  <si>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</si>
  <si>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</si>
  <si>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</si>
  <si>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</si>
  <si>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indexed="10"/>
        <rFont val="宋体"/>
        <charset val="134"/>
      </rPr>
      <t>最后一个境外装运港。</t>
    </r>
  </si>
  <si>
    <t>指运港-出口</t>
  </si>
  <si>
    <r>
      <rPr>
        <sz val="12"/>
        <rFont val="宋体"/>
        <charset val="134"/>
      </rP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</si>
  <si>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</si>
  <si>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</si>
  <si>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</si>
  <si>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</si>
  <si>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</si>
  <si>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</si>
  <si>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</si>
  <si>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</si>
  <si>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</si>
  <si>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</si>
  <si>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</si>
  <si>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</si>
  <si>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</si>
  <si>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</si>
  <si>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</si>
  <si>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</si>
  <si>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rPr>
        <sz val="12"/>
        <color rgb="FFFF0000"/>
        <rFont val="宋体"/>
        <charset val="134"/>
      </rPr>
      <t>填报由13位数字组成的商品编号。</t>
    </r>
    <r>
      <rPr>
        <sz val="12"/>
        <rFont val="宋体"/>
        <charset val="134"/>
      </rPr>
      <t>前8位为《中华人民共和国进出口税则》和《中华人民共和国海关统计商品目录》确定的编码；9、10位为监管附加编号，</t>
    </r>
    <r>
      <rPr>
        <sz val="12"/>
        <color indexed="1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</si>
  <si>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</si>
  <si>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</si>
  <si>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</si>
  <si>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rPr>
        <sz val="12"/>
        <rFont val="宋体"/>
        <charset val="134"/>
      </rP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</si>
  <si>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</si>
  <si>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indexed="10"/>
        <rFont val="宋体"/>
        <charset val="134"/>
      </rPr>
      <t>无实际成交价格的，填报单位货值。</t>
    </r>
  </si>
  <si>
    <t>总价</t>
  </si>
  <si>
    <r>
      <rPr>
        <sz val="12"/>
        <rFont val="宋体"/>
        <charset val="134"/>
      </rP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</si>
  <si>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</si>
  <si>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</si>
  <si>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</si>
  <si>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r>
      <rPr>
        <sz val="12"/>
        <rFont val="宋体"/>
        <charset val="134"/>
      </rPr>
      <t>最终目的国（地区）填报</t>
    </r>
    <r>
      <rPr>
        <sz val="12"/>
        <color indexed="1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indexed="1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</si>
  <si>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</si>
  <si>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</si>
  <si>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</si>
  <si>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</si>
  <si>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</si>
  <si>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</si>
  <si>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rgb="FFFF000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</si>
  <si>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</si>
  <si>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rgb="FFFF000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</si>
  <si>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</si>
  <si>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rgb="FFFF000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</si>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</sst>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804]\ General&quot;元整&quot;"/>
    <numFmt numFmtId="180" formatCode="yyyy&quot;年&quot;m&quot;月&quot;d&quot;日&quot;;@"/>
    <numFmt numFmtId="181" formatCode="0.000_);[Red]\(0.000\)"/>
  </numFmts>
  <fonts count="60">
    <font>
      <sz val="12"/>
      <name val="宋体"/>
      <charset val="134"/>
    </font>
    <font>
      <sz val="12"/>
      <color rgb="FFFF0000"/>
      <name val="宋体"/>
      <charset val="134"/>
    </font>
    <font>
      <b/>
      <sz val="12"/>
      <name val="宋体"/>
      <charset val="134"/>
    </font>
    <font>
      <sz val="10"/>
      <name val="宋体"/>
      <charset val="134"/>
    </font>
    <font>
      <b/>
      <sz val="12"/>
      <color rgb="FFFF0000"/>
      <name val="宋体"/>
      <charset val="134"/>
    </font>
    <font>
      <u/>
      <sz val="11"/>
      <color rgb="FF0000FF"/>
      <name val="宋体"/>
      <charset val="134"/>
      <scheme val="minor"/>
    </font>
    <font>
      <u/>
      <sz val="11"/>
      <color rgb="FF800080"/>
      <name val="宋体"/>
      <charset val="134"/>
      <scheme val="minor"/>
    </font>
    <font>
      <sz val="20"/>
      <name val="宋体"/>
      <charset val="134"/>
    </font>
    <font>
      <sz val="10"/>
      <color rgb="FFFF0000"/>
      <name val="宋体"/>
      <charset val="134"/>
    </font>
    <font>
      <sz val="8"/>
      <name val="宋体"/>
      <charset val="134"/>
    </font>
    <font>
      <sz val="11"/>
      <name val="宋体"/>
      <charset val="134"/>
    </font>
    <font>
      <sz val="12"/>
      <name val="Times New Roman"/>
      <charset val="134"/>
    </font>
    <font>
      <b/>
      <sz val="24"/>
      <name val="宋体"/>
      <charset val="134"/>
    </font>
    <font>
      <sz val="24"/>
      <name val="宋体"/>
      <charset val="134"/>
    </font>
    <font>
      <sz val="11"/>
      <name val="Times New Roman"/>
      <charset val="134"/>
    </font>
    <font>
      <sz val="10"/>
      <name val="Times New Roman"/>
      <charset val="134"/>
    </font>
    <font>
      <sz val="10"/>
      <name val="宋体"/>
      <charset val="134"/>
      <scheme val="minor"/>
    </font>
    <font>
      <b/>
      <sz val="12"/>
      <name val="Times New Roman"/>
      <charset val="134"/>
    </font>
    <font>
      <b/>
      <sz val="10"/>
      <name val="Times New Roman"/>
      <charset val="134"/>
    </font>
    <font>
      <sz val="9"/>
      <name val="Times New Roman"/>
      <charset val="134"/>
    </font>
    <font>
      <u/>
      <sz val="12"/>
      <name val="Times New Roman"/>
      <charset val="134"/>
    </font>
    <font>
      <b/>
      <sz val="22"/>
      <name val="宋体"/>
      <charset val="134"/>
    </font>
    <font>
      <sz val="22"/>
      <name val="宋体"/>
      <charset val="134"/>
    </font>
    <font>
      <sz val="20"/>
      <name val="Times New Roman"/>
      <charset val="134"/>
    </font>
    <font>
      <sz val="16"/>
      <name val="Times New Roman"/>
      <charset val="134"/>
    </font>
    <font>
      <sz val="12"/>
      <color indexed="10"/>
      <name val="宋体"/>
      <charset val="134"/>
    </font>
    <font>
      <b/>
      <sz val="14"/>
      <name val="宋体"/>
      <charset val="134"/>
    </font>
    <font>
      <b/>
      <sz val="20"/>
      <name val="宋体"/>
      <charset val="134"/>
    </font>
    <font>
      <sz val="10"/>
      <color theme="1"/>
      <name val="宋体"/>
      <charset val="134"/>
      <scheme val="minor"/>
    </font>
    <font>
      <sz val="10"/>
      <color rgb="FFFF0000"/>
      <name val="宋体"/>
      <charset val="134"/>
      <scheme val="minor"/>
    </font>
    <font>
      <b/>
      <sz val="11"/>
      <name val="宋体"/>
      <charset val="134"/>
    </font>
    <font>
      <b/>
      <sz val="10"/>
      <name val="宋体"/>
      <charset val="134"/>
    </font>
    <font>
      <sz val="11"/>
      <color theme="8" tint="-0.499984740745262"/>
      <name val="宋体"/>
      <charset val="134"/>
    </font>
    <font>
      <sz val="10"/>
      <color rgb="FFD9D9D9"/>
      <name val="宋体"/>
      <charset val="134"/>
    </font>
    <font>
      <sz val="12"/>
      <color theme="0" tint="-0.249977111117893"/>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sz val="10"/>
      <color indexed="10"/>
      <name val="宋体"/>
      <charset val="134"/>
    </font>
    <font>
      <b/>
      <sz val="24"/>
      <name val="Times New Roman"/>
      <charset val="134"/>
    </font>
    <font>
      <b/>
      <u/>
      <sz val="22"/>
      <name val="宋体"/>
      <charset val="134"/>
    </font>
    <font>
      <u/>
      <sz val="20"/>
      <name val="Times New Roman"/>
      <charset val="134"/>
    </font>
    <font>
      <b/>
      <sz val="12"/>
      <color indexed="10"/>
      <name val="宋体"/>
      <charset val="134"/>
    </font>
  </fonts>
  <fills count="36">
    <fill>
      <patternFill patternType="none"/>
    </fill>
    <fill>
      <patternFill patternType="gray125"/>
    </fill>
    <fill>
      <patternFill patternType="solid">
        <fgColor theme="0" tint="-0.0499893185216834"/>
        <bgColor indexed="64"/>
      </patternFill>
    </fill>
    <fill>
      <patternFill patternType="solid">
        <fgColor theme="0" tint="-0.14999847407452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5" fillId="5" borderId="4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44" applyNumberFormat="0" applyFill="0" applyAlignment="0" applyProtection="0">
      <alignment vertical="center"/>
    </xf>
    <xf numFmtId="0" fontId="41" fillId="0" borderId="44" applyNumberFormat="0" applyFill="0" applyAlignment="0" applyProtection="0">
      <alignment vertical="center"/>
    </xf>
    <xf numFmtId="0" fontId="42" fillId="0" borderId="45" applyNumberFormat="0" applyFill="0" applyAlignment="0" applyProtection="0">
      <alignment vertical="center"/>
    </xf>
    <xf numFmtId="0" fontId="42" fillId="0" borderId="0" applyNumberFormat="0" applyFill="0" applyBorder="0" applyAlignment="0" applyProtection="0">
      <alignment vertical="center"/>
    </xf>
    <xf numFmtId="0" fontId="43" fillId="6" borderId="46" applyNumberFormat="0" applyAlignment="0" applyProtection="0">
      <alignment vertical="center"/>
    </xf>
    <xf numFmtId="0" fontId="44" fillId="7" borderId="47" applyNumberFormat="0" applyAlignment="0" applyProtection="0">
      <alignment vertical="center"/>
    </xf>
    <xf numFmtId="0" fontId="45" fillId="7" borderId="46" applyNumberFormat="0" applyAlignment="0" applyProtection="0">
      <alignment vertical="center"/>
    </xf>
    <xf numFmtId="0" fontId="46" fillId="8" borderId="48" applyNumberFormat="0" applyAlignment="0" applyProtection="0">
      <alignment vertical="center"/>
    </xf>
    <xf numFmtId="0" fontId="47" fillId="0" borderId="49" applyNumberFormat="0" applyFill="0" applyAlignment="0" applyProtection="0">
      <alignment vertical="center"/>
    </xf>
    <xf numFmtId="0" fontId="48" fillId="0" borderId="50"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cellStyleXfs>
  <cellXfs count="351">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2" borderId="0" xfId="0" applyFont="1" applyFill="1">
      <alignment vertical="center"/>
    </xf>
    <xf numFmtId="0" fontId="2" fillId="2" borderId="0" xfId="0" applyFont="1" applyFill="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4" fillId="0" borderId="0" xfId="0" applyFont="1" applyAlignment="1">
      <alignment horizontal="left" vertical="center"/>
    </xf>
    <xf numFmtId="0" fontId="0" fillId="0" borderId="0" xfId="0" applyFont="1" applyAlignment="1">
      <alignment horizontal="left" vertical="center"/>
    </xf>
    <xf numFmtId="0" fontId="5" fillId="0" borderId="0" xfId="6" applyAlignment="1">
      <alignment horizontal="left" vertical="center"/>
    </xf>
    <xf numFmtId="0" fontId="6" fillId="0" borderId="0" xfId="6" applyFont="1" applyAlignment="1">
      <alignment horizontal="left"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9"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9" fillId="0" borderId="1" xfId="0"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11" fillId="0" borderId="0" xfId="0" applyFont="1" applyBorder="1">
      <alignment vertical="center"/>
    </xf>
    <xf numFmtId="0" fontId="11" fillId="0" borderId="0" xfId="0" applyFont="1">
      <alignment vertical="center"/>
    </xf>
    <xf numFmtId="0" fontId="12" fillId="0" borderId="0"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xf>
    <xf numFmtId="0" fontId="10" fillId="0" borderId="0" xfId="0" applyFont="1" applyBorder="1" applyAlignment="1" applyProtection="1">
      <alignment horizontal="left" vertical="center" wrapText="1"/>
    </xf>
    <xf numFmtId="0" fontId="14" fillId="0" borderId="0" xfId="0" applyFont="1" applyBorder="1" applyAlignment="1" applyProtection="1">
      <alignment horizontal="right" vertical="center"/>
    </xf>
    <xf numFmtId="0" fontId="11" fillId="0" borderId="0" xfId="0" applyFont="1" applyAlignment="1" applyProtection="1">
      <alignment horizontal="center" vertical="center"/>
    </xf>
    <xf numFmtId="0" fontId="14" fillId="0" borderId="0" xfId="0" applyFont="1" applyAlignment="1" applyProtection="1">
      <alignment horizontal="center" vertical="center"/>
    </xf>
    <xf numFmtId="0" fontId="10" fillId="0" borderId="2" xfId="0" applyFont="1" applyBorder="1" applyAlignment="1" applyProtection="1">
      <alignment horizontal="left" vertical="center" wrapText="1"/>
    </xf>
    <xf numFmtId="0" fontId="14" fillId="0" borderId="0" xfId="0" applyFont="1" applyBorder="1" applyAlignment="1" applyProtection="1">
      <alignment horizontal="right" vertical="center" wrapText="1"/>
    </xf>
    <xf numFmtId="0" fontId="11"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wrapText="1"/>
    </xf>
    <xf numFmtId="0" fontId="14" fillId="0" borderId="3" xfId="0" applyFont="1" applyBorder="1" applyAlignment="1" applyProtection="1">
      <alignment horizontal="left" vertical="center" wrapText="1"/>
    </xf>
    <xf numFmtId="0" fontId="15" fillId="0" borderId="0" xfId="0" applyFont="1" applyBorder="1" applyAlignment="1" applyProtection="1">
      <alignment horizontal="right" vertical="center"/>
    </xf>
    <xf numFmtId="0" fontId="15" fillId="0" borderId="0" xfId="0" applyFont="1" applyBorder="1" applyAlignment="1" applyProtection="1">
      <alignment horizontal="center" vertical="center"/>
    </xf>
    <xf numFmtId="0" fontId="14" fillId="0" borderId="2" xfId="0" applyFont="1" applyBorder="1" applyAlignment="1" applyProtection="1">
      <alignment horizontal="left" vertical="center" wrapText="1"/>
    </xf>
    <xf numFmtId="0" fontId="14" fillId="0" borderId="3" xfId="0" applyFont="1" applyBorder="1" applyAlignment="1" applyProtection="1">
      <alignment horizontal="center" wrapText="1"/>
    </xf>
    <xf numFmtId="0" fontId="10" fillId="0" borderId="0" xfId="0" applyFont="1" applyAlignment="1" applyProtection="1">
      <alignment horizontal="center" vertical="center"/>
    </xf>
    <xf numFmtId="0" fontId="11" fillId="0" borderId="0" xfId="0" applyNumberFormat="1" applyFont="1" applyFill="1" applyBorder="1" applyAlignment="1" applyProtection="1">
      <alignment horizontal="center" vertical="center" wrapText="1"/>
    </xf>
    <xf numFmtId="0" fontId="11" fillId="0" borderId="0" xfId="0" applyFont="1" applyAlignment="1">
      <alignment horizontal="center" vertical="center"/>
    </xf>
    <xf numFmtId="0" fontId="15" fillId="0" borderId="0" xfId="0" applyFont="1" applyBorder="1" applyAlignment="1" applyProtection="1">
      <alignment horizontal="center" vertical="center" wrapText="1"/>
    </xf>
    <xf numFmtId="0" fontId="14" fillId="0" borderId="2" xfId="0" applyFont="1" applyBorder="1" applyAlignment="1" applyProtection="1">
      <alignment horizontal="center" wrapText="1"/>
    </xf>
    <xf numFmtId="0" fontId="14" fillId="0" borderId="2"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xf>
    <xf numFmtId="14" fontId="11" fillId="0" borderId="0" xfId="0" applyNumberFormat="1" applyFont="1" applyFill="1" applyBorder="1" applyAlignment="1" applyProtection="1">
      <alignment horizontal="center" vertical="center" wrapText="1"/>
    </xf>
    <xf numFmtId="0" fontId="10" fillId="0" borderId="2" xfId="0" applyFont="1" applyBorder="1" applyAlignment="1" applyProtection="1">
      <alignment horizontal="left" vertical="center"/>
    </xf>
    <xf numFmtId="0" fontId="3" fillId="0" borderId="0" xfId="0" applyFont="1" applyBorder="1" applyAlignment="1" applyProtection="1">
      <alignment horizontal="right" vertical="center"/>
    </xf>
    <xf numFmtId="0" fontId="15"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6" fillId="0" borderId="0" xfId="0" applyFont="1" applyAlignment="1" applyProtection="1">
      <alignment horizontal="right" vertical="center" wrapText="1"/>
    </xf>
    <xf numFmtId="0" fontId="16" fillId="0" borderId="0" xfId="0" applyFont="1" applyAlignment="1" applyProtection="1">
      <alignment horizontal="center"/>
    </xf>
    <xf numFmtId="0" fontId="16" fillId="0" borderId="0" xfId="0" applyFont="1" applyAlignment="1" applyProtection="1">
      <alignment horizontal="left"/>
    </xf>
    <xf numFmtId="0" fontId="14" fillId="0" borderId="3" xfId="0" applyFont="1" applyBorder="1" applyAlignment="1" applyProtection="1">
      <alignment horizontal="center" vertical="center"/>
    </xf>
    <xf numFmtId="0" fontId="15" fillId="0" borderId="3" xfId="0" applyFont="1" applyBorder="1" applyAlignment="1" applyProtection="1">
      <alignment horizontal="center" vertical="center"/>
    </xf>
    <xf numFmtId="0" fontId="16" fillId="0" borderId="0" xfId="0" applyFont="1" applyAlignment="1" applyProtection="1">
      <alignment horizontal="right" vertical="center"/>
    </xf>
    <xf numFmtId="0" fontId="14" fillId="0" borderId="2" xfId="0" applyFont="1" applyBorder="1" applyAlignment="1" applyProtection="1">
      <alignment horizontal="center" vertical="center"/>
    </xf>
    <xf numFmtId="0" fontId="15" fillId="0" borderId="0" xfId="0" applyFont="1" applyBorder="1" applyProtection="1">
      <alignment vertical="center"/>
    </xf>
    <xf numFmtId="0" fontId="3" fillId="0" borderId="0" xfId="0" applyFont="1" applyBorder="1" applyProtection="1">
      <alignment vertical="center"/>
    </xf>
    <xf numFmtId="0" fontId="3" fillId="0" borderId="3" xfId="0" applyFont="1" applyBorder="1" applyProtection="1">
      <alignment vertical="center"/>
    </xf>
    <xf numFmtId="0" fontId="15" fillId="0" borderId="4" xfId="0" applyFont="1" applyBorder="1" applyAlignment="1" applyProtection="1">
      <alignment vertical="center" shrinkToFit="1"/>
    </xf>
    <xf numFmtId="0" fontId="14" fillId="0" borderId="5" xfId="0" applyFont="1" applyBorder="1" applyAlignment="1" applyProtection="1">
      <alignment horizontal="center" vertical="center"/>
    </xf>
    <xf numFmtId="0" fontId="14" fillId="0" borderId="6" xfId="0" applyFont="1" applyBorder="1" applyAlignment="1" applyProtection="1">
      <alignment horizontal="center" vertical="center"/>
    </xf>
    <xf numFmtId="0" fontId="14" fillId="0" borderId="7" xfId="0" applyFont="1" applyBorder="1" applyAlignment="1" applyProtection="1">
      <alignment horizontal="center" vertical="center"/>
    </xf>
    <xf numFmtId="0" fontId="14" fillId="0" borderId="8" xfId="0" applyFont="1" applyBorder="1" applyAlignment="1" applyProtection="1">
      <alignment horizontal="center" vertical="center"/>
    </xf>
    <xf numFmtId="0" fontId="14" fillId="0" borderId="9"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11" xfId="0" applyFont="1" applyBorder="1" applyAlignment="1" applyProtection="1">
      <alignment horizontal="center" vertical="center"/>
    </xf>
    <xf numFmtId="0" fontId="10" fillId="0" borderId="12" xfId="0" applyFont="1" applyBorder="1" applyAlignment="1" applyProtection="1">
      <alignment horizontal="center" vertical="center" shrinkToFit="1"/>
    </xf>
    <xf numFmtId="0" fontId="10" fillId="0" borderId="13" xfId="0" applyFont="1" applyBorder="1" applyAlignment="1" applyProtection="1">
      <alignment horizontal="center" vertical="center" shrinkToFit="1"/>
    </xf>
    <xf numFmtId="0" fontId="11" fillId="0" borderId="14" xfId="0" applyNumberFormat="1" applyFont="1" applyBorder="1" applyAlignment="1" applyProtection="1">
      <alignment horizontal="center" vertical="center" shrinkToFit="1"/>
    </xf>
    <xf numFmtId="0" fontId="3" fillId="0" borderId="14" xfId="0" applyFont="1" applyBorder="1" applyAlignment="1" applyProtection="1">
      <alignment horizontal="center" vertical="center" shrinkToFit="1"/>
    </xf>
    <xf numFmtId="176" fontId="11" fillId="0" borderId="14" xfId="0" applyNumberFormat="1" applyFont="1" applyBorder="1" applyAlignment="1" applyProtection="1">
      <alignment horizontal="center" vertical="center" shrinkToFit="1"/>
    </xf>
    <xf numFmtId="0" fontId="11" fillId="0" borderId="12" xfId="0" applyNumberFormat="1" applyFont="1" applyBorder="1" applyAlignment="1" applyProtection="1">
      <alignment horizontal="center" vertical="center" shrinkToFit="1"/>
    </xf>
    <xf numFmtId="4" fontId="11" fillId="0" borderId="3" xfId="0" applyNumberFormat="1" applyFont="1" applyBorder="1" applyAlignment="1" applyProtection="1">
      <alignment horizontal="left" vertical="center" shrinkToFit="1"/>
    </xf>
    <xf numFmtId="4" fontId="11" fillId="0" borderId="13" xfId="0" applyNumberFormat="1" applyFont="1" applyBorder="1" applyAlignment="1" applyProtection="1">
      <alignment horizontal="left" vertical="center" shrinkToFit="1"/>
    </xf>
    <xf numFmtId="0" fontId="10" fillId="0" borderId="12" xfId="0" applyFont="1" applyBorder="1" applyAlignment="1" applyProtection="1">
      <alignment horizontal="center" vertical="center"/>
    </xf>
    <xf numFmtId="0" fontId="10" fillId="0" borderId="13" xfId="0" applyFont="1" applyBorder="1" applyAlignment="1" applyProtection="1">
      <alignment horizontal="center" vertical="center"/>
    </xf>
    <xf numFmtId="0" fontId="11" fillId="0" borderId="14" xfId="0" applyNumberFormat="1" applyFont="1" applyBorder="1" applyAlignment="1" applyProtection="1">
      <alignment horizontal="center" vertical="center"/>
    </xf>
    <xf numFmtId="0" fontId="3" fillId="0" borderId="14" xfId="0" applyFont="1" applyBorder="1" applyAlignment="1" applyProtection="1">
      <alignment horizontal="center" vertical="center"/>
    </xf>
    <xf numFmtId="4" fontId="11" fillId="0" borderId="14" xfId="0" applyNumberFormat="1" applyFont="1" applyBorder="1" applyAlignment="1" applyProtection="1">
      <alignment horizontal="center" vertical="center"/>
    </xf>
    <xf numFmtId="0" fontId="11" fillId="0" borderId="12" xfId="0" applyNumberFormat="1" applyFont="1" applyBorder="1" applyAlignment="1" applyProtection="1">
      <alignment horizontal="center" vertical="center"/>
    </xf>
    <xf numFmtId="4" fontId="11" fillId="0" borderId="3" xfId="0" applyNumberFormat="1" applyFont="1" applyBorder="1" applyAlignment="1" applyProtection="1">
      <alignment horizontal="left" vertical="center"/>
    </xf>
    <xf numFmtId="4" fontId="11" fillId="0" borderId="13" xfId="0" applyNumberFormat="1" applyFont="1" applyBorder="1" applyAlignment="1" applyProtection="1">
      <alignment horizontal="left" vertical="center"/>
    </xf>
    <xf numFmtId="0" fontId="17" fillId="0" borderId="0" xfId="0" applyFont="1" applyBorder="1" applyProtection="1">
      <alignment vertical="center"/>
    </xf>
    <xf numFmtId="177" fontId="17" fillId="0" borderId="1" xfId="0" applyNumberFormat="1" applyFont="1" applyBorder="1" applyAlignment="1" applyProtection="1">
      <alignment horizontal="center" vertical="center"/>
    </xf>
    <xf numFmtId="178" fontId="17" fillId="0" borderId="1" xfId="0" applyNumberFormat="1" applyFont="1" applyBorder="1" applyAlignment="1" applyProtection="1">
      <alignment horizontal="left" vertical="center"/>
    </xf>
    <xf numFmtId="0" fontId="15" fillId="0" borderId="0" xfId="0" applyFont="1" applyBorder="1" applyAlignment="1" applyProtection="1">
      <alignment vertical="center"/>
    </xf>
    <xf numFmtId="0" fontId="18" fillId="0" borderId="0" xfId="0" applyFont="1" applyBorder="1" applyAlignment="1" applyProtection="1">
      <alignmen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2" fillId="0" borderId="0" xfId="0" applyNumberFormat="1" applyFont="1" applyBorder="1" applyAlignment="1" applyProtection="1">
      <alignment horizontal="right" vertical="center"/>
    </xf>
    <xf numFmtId="179" fontId="2" fillId="0" borderId="0" xfId="0" applyNumberFormat="1" applyFont="1" applyBorder="1" applyAlignment="1" applyProtection="1">
      <alignment horizontal="left" vertical="center"/>
    </xf>
    <xf numFmtId="0" fontId="11"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11" fillId="0" borderId="0" xfId="0" applyFont="1" applyBorder="1" applyAlignment="1" applyProtection="1">
      <alignment horizontal="left" vertical="center" shrinkToFit="1"/>
    </xf>
    <xf numFmtId="180" fontId="11"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0" fillId="0" borderId="0" xfId="0" applyBorder="1" applyProtection="1">
      <alignment vertical="center"/>
    </xf>
    <xf numFmtId="0" fontId="19" fillId="0" borderId="0" xfId="0" applyFont="1" applyBorder="1" applyAlignment="1" applyProtection="1">
      <alignment horizontal="left" vertical="center"/>
    </xf>
    <xf numFmtId="0" fontId="11" fillId="0" borderId="0" xfId="0" applyFont="1" applyBorder="1" applyAlignment="1" applyProtection="1">
      <alignment vertical="center"/>
    </xf>
    <xf numFmtId="0" fontId="11" fillId="0" borderId="0" xfId="0" applyFont="1" applyBorder="1" applyAlignment="1" applyProtection="1">
      <alignment horizontal="center" vertical="center"/>
    </xf>
    <xf numFmtId="0" fontId="11" fillId="0" borderId="0" xfId="0" applyFont="1" applyBorder="1" applyAlignment="1" applyProtection="1">
      <alignment horizontal="left" vertical="center"/>
    </xf>
    <xf numFmtId="0" fontId="11" fillId="0" borderId="0" xfId="0" applyFont="1" applyAlignment="1" applyProtection="1">
      <alignment horizontal="left" vertical="center"/>
    </xf>
    <xf numFmtId="0" fontId="11" fillId="0" borderId="0" xfId="0" applyFont="1" applyProtection="1">
      <alignment vertical="center"/>
    </xf>
    <xf numFmtId="0" fontId="20" fillId="0" borderId="0" xfId="0" applyFont="1" applyBorder="1" applyProtection="1">
      <alignment vertical="center"/>
    </xf>
    <xf numFmtId="0" fontId="11" fillId="0" borderId="0" xfId="0" applyFont="1" applyAlignment="1">
      <alignment horizontal="left" vertical="center"/>
    </xf>
    <xf numFmtId="0" fontId="21" fillId="0" borderId="0" xfId="0" applyFont="1" applyBorder="1" applyAlignment="1" applyProtection="1">
      <alignment horizontal="center" vertical="center" wrapText="1"/>
    </xf>
    <xf numFmtId="0" fontId="21" fillId="0" borderId="0" xfId="0" applyFont="1" applyBorder="1" applyAlignment="1" applyProtection="1">
      <alignment horizontal="left" vertical="center" wrapText="1"/>
    </xf>
    <xf numFmtId="0" fontId="22"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11" fillId="0" borderId="2" xfId="0" applyNumberFormat="1" applyFont="1" applyFill="1" applyBorder="1" applyAlignment="1" applyProtection="1">
      <alignment horizontal="left" vertical="center" wrapText="1"/>
    </xf>
    <xf numFmtId="0" fontId="23" fillId="0" borderId="0" xfId="0" applyFont="1" applyBorder="1" applyAlignment="1" applyProtection="1">
      <alignment vertical="center"/>
    </xf>
    <xf numFmtId="0" fontId="24" fillId="0" borderId="0" xfId="0" applyFont="1" applyBorder="1" applyAlignment="1" applyProtection="1">
      <alignment vertical="center"/>
    </xf>
    <xf numFmtId="0" fontId="15"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11" fillId="0" borderId="2" xfId="0" applyNumberFormat="1" applyFont="1" applyFill="1" applyBorder="1" applyAlignment="1" applyProtection="1">
      <alignment horizontal="left" vertical="center" wrapText="1"/>
    </xf>
    <xf numFmtId="0" fontId="0" fillId="0" borderId="2" xfId="0" applyFont="1" applyBorder="1" applyAlignment="1" applyProtection="1">
      <alignment horizontal="left" vertical="center" wrapText="1"/>
    </xf>
    <xf numFmtId="0" fontId="11" fillId="0" borderId="2" xfId="0" applyNumberFormat="1" applyFont="1" applyBorder="1" applyAlignment="1" applyProtection="1">
      <alignment horizontal="left" vertical="center" wrapText="1"/>
    </xf>
    <xf numFmtId="0" fontId="0" fillId="0" borderId="0" xfId="0" applyBorder="1" applyAlignment="1" applyProtection="1">
      <alignment wrapText="1"/>
    </xf>
    <xf numFmtId="0" fontId="11"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25"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2"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vertical="center" wrapText="1"/>
    </xf>
    <xf numFmtId="0" fontId="0" fillId="0" borderId="2"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10" fillId="0" borderId="1" xfId="0" applyFont="1" applyBorder="1" applyAlignment="1" applyProtection="1">
      <alignment horizontal="center" vertical="center" wrapText="1"/>
    </xf>
    <xf numFmtId="0" fontId="0" fillId="0" borderId="1" xfId="0" applyFont="1" applyBorder="1" applyAlignment="1" applyProtection="1">
      <alignment horizontal="left" vertical="center" wrapText="1"/>
    </xf>
    <xf numFmtId="0" fontId="0" fillId="0" borderId="14" xfId="0" applyBorder="1" applyAlignment="1" applyProtection="1">
      <alignment horizontal="center" vertical="center" wrapText="1"/>
    </xf>
    <xf numFmtId="0" fontId="11" fillId="0" borderId="15" xfId="0" applyFont="1" applyBorder="1" applyAlignment="1" applyProtection="1">
      <alignment horizontal="center" vertical="top" wrapText="1"/>
    </xf>
    <xf numFmtId="0" fontId="10" fillId="0" borderId="16" xfId="0" applyFont="1" applyBorder="1" applyAlignment="1" applyProtection="1">
      <alignment horizontal="center" vertical="center" shrinkToFit="1"/>
    </xf>
    <xf numFmtId="0" fontId="11" fillId="0" borderId="16" xfId="0" applyNumberFormat="1" applyFont="1" applyBorder="1" applyAlignment="1" applyProtection="1">
      <alignment horizontal="center" vertical="center" shrinkToFit="1"/>
    </xf>
    <xf numFmtId="0" fontId="11" fillId="0" borderId="0" xfId="0" applyFont="1" applyBorder="1" applyAlignment="1" applyProtection="1">
      <alignment horizontal="right" vertical="center" shrinkToFit="1"/>
      <protection locked="0"/>
    </xf>
    <xf numFmtId="0" fontId="11" fillId="0" borderId="0" xfId="0" applyFont="1" applyBorder="1" applyAlignment="1" applyProtection="1">
      <alignment horizontal="left" vertical="center" shrinkToFit="1"/>
      <protection locked="0"/>
    </xf>
    <xf numFmtId="0" fontId="11" fillId="0" borderId="15" xfId="0" applyNumberFormat="1" applyFont="1" applyBorder="1" applyAlignment="1" applyProtection="1">
      <alignment horizontal="center" vertical="center" shrinkToFit="1"/>
    </xf>
    <xf numFmtId="0" fontId="14" fillId="0" borderId="0" xfId="0" applyFont="1" applyBorder="1" applyProtection="1">
      <alignment vertical="center"/>
    </xf>
    <xf numFmtId="0" fontId="11" fillId="0" borderId="11" xfId="0" applyFont="1" applyBorder="1" applyAlignment="1" applyProtection="1">
      <alignment horizontal="center" vertical="top" wrapText="1"/>
    </xf>
    <xf numFmtId="0" fontId="11" fillId="0" borderId="11" xfId="0" applyNumberFormat="1" applyFont="1" applyBorder="1" applyAlignment="1" applyProtection="1">
      <alignment horizontal="center" vertical="center" shrinkToFit="1"/>
    </xf>
    <xf numFmtId="0" fontId="2" fillId="0" borderId="1" xfId="0" applyFont="1" applyBorder="1" applyAlignment="1" applyProtection="1">
      <alignment vertical="center" wrapText="1"/>
    </xf>
    <xf numFmtId="0" fontId="2" fillId="0" borderId="17" xfId="0" applyFont="1" applyBorder="1" applyAlignment="1" applyProtection="1">
      <alignment vertical="center" shrinkToFit="1"/>
    </xf>
    <xf numFmtId="0" fontId="11" fillId="0" borderId="17" xfId="0" applyNumberFormat="1" applyFont="1" applyBorder="1" applyAlignment="1" applyProtection="1">
      <alignment horizontal="center" vertical="center" shrinkToFit="1"/>
    </xf>
    <xf numFmtId="0" fontId="11" fillId="0" borderId="18" xfId="0" applyFont="1" applyBorder="1" applyAlignment="1" applyProtection="1">
      <alignment vertical="center" shrinkToFit="1"/>
      <protection locked="0"/>
    </xf>
    <xf numFmtId="0" fontId="11" fillId="0" borderId="17" xfId="0" applyFont="1" applyBorder="1" applyAlignment="1" applyProtection="1">
      <alignment vertical="center" shrinkToFit="1"/>
      <protection locked="0"/>
    </xf>
    <xf numFmtId="0" fontId="11" fillId="0" borderId="10"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0" fillId="0" borderId="2"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2" xfId="0" applyNumberFormat="1" applyFont="1" applyFill="1" applyBorder="1" applyAlignment="1" applyProtection="1">
      <alignment horizontal="left" vertical="center" wrapText="1"/>
    </xf>
    <xf numFmtId="0" fontId="0" fillId="0" borderId="2"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0" xfId="0" applyBorder="1" applyAlignment="1" applyProtection="1">
      <alignment horizontal="right" vertical="center"/>
    </xf>
    <xf numFmtId="0" fontId="0" fillId="0" borderId="19" xfId="0" applyBorder="1" applyAlignment="1" applyProtection="1">
      <alignment horizontal="center" vertical="center" wrapText="1"/>
    </xf>
    <xf numFmtId="0" fontId="0" fillId="0" borderId="20" xfId="0" applyBorder="1" applyAlignment="1" applyProtection="1">
      <alignment horizontal="center" vertical="top" wrapText="1"/>
    </xf>
    <xf numFmtId="0" fontId="0" fillId="0" borderId="0" xfId="0" applyBorder="1" applyAlignment="1" applyProtection="1">
      <alignment horizontal="center" vertical="top"/>
    </xf>
    <xf numFmtId="0" fontId="0" fillId="0" borderId="20" xfId="0" applyBorder="1" applyAlignment="1" applyProtection="1">
      <alignment horizontal="center" vertical="center" shrinkToFit="1"/>
    </xf>
    <xf numFmtId="0" fontId="3" fillId="0" borderId="16" xfId="0" applyFont="1" applyBorder="1" applyAlignment="1" applyProtection="1">
      <alignment horizontal="center" vertical="center" shrinkToFit="1"/>
    </xf>
    <xf numFmtId="176" fontId="10" fillId="0" borderId="16"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0" fillId="0" borderId="0" xfId="0" applyBorder="1">
      <alignment vertical="center"/>
    </xf>
    <xf numFmtId="0" fontId="0" fillId="0" borderId="20" xfId="0" applyBorder="1" applyAlignment="1" applyProtection="1">
      <alignment horizontal="center" vertical="top"/>
    </xf>
    <xf numFmtId="0" fontId="2" fillId="0" borderId="18" xfId="0" applyFont="1" applyBorder="1" applyAlignment="1" applyProtection="1">
      <alignment horizontal="center" vertical="center"/>
    </xf>
    <xf numFmtId="179" fontId="2" fillId="0" borderId="18" xfId="0" applyNumberFormat="1" applyFont="1" applyBorder="1" applyAlignment="1" applyProtection="1">
      <alignment horizontal="center" vertical="center" shrinkToFit="1"/>
    </xf>
    <xf numFmtId="0" fontId="2" fillId="0" borderId="18" xfId="0" applyNumberFormat="1" applyFont="1" applyBorder="1" applyAlignment="1" applyProtection="1">
      <alignment horizontal="right" vertical="center" shrinkToFit="1"/>
    </xf>
    <xf numFmtId="181" fontId="2" fillId="0" borderId="18" xfId="0" applyNumberFormat="1" applyFont="1" applyBorder="1" applyAlignment="1" applyProtection="1">
      <alignment horizontal="right" vertical="center" shrinkToFit="1"/>
    </xf>
    <xf numFmtId="178" fontId="2" fillId="0" borderId="18" xfId="0" applyNumberFormat="1" applyFont="1" applyBorder="1" applyAlignment="1" applyProtection="1">
      <alignment horizontal="left" vertical="center" shrinkToFit="1"/>
    </xf>
    <xf numFmtId="0" fontId="26" fillId="0" borderId="0" xfId="0" applyFont="1" applyBorder="1" applyAlignment="1" applyProtection="1">
      <alignment horizontal="center" vertical="center" wrapText="1"/>
    </xf>
    <xf numFmtId="0" fontId="26" fillId="0" borderId="0" xfId="0" applyFont="1" applyBorder="1" applyAlignment="1" applyProtection="1">
      <alignment horizontal="center" vertical="center"/>
    </xf>
    <xf numFmtId="0" fontId="0" fillId="0" borderId="0" xfId="0" applyAlignment="1" applyProtection="1">
      <alignment horizontal="center" vertical="center"/>
    </xf>
    <xf numFmtId="0" fontId="2" fillId="0" borderId="0" xfId="0" applyFont="1" applyAlignment="1" applyProtection="1">
      <alignment horizontal="left" vertical="center"/>
    </xf>
    <xf numFmtId="0" fontId="0" fillId="0" borderId="0" xfId="0" applyProtection="1">
      <alignment vertical="center"/>
    </xf>
    <xf numFmtId="0" fontId="3" fillId="0" borderId="0" xfId="0" applyFont="1">
      <alignment vertical="center"/>
    </xf>
    <xf numFmtId="0" fontId="10" fillId="0" borderId="0" xfId="0" applyFont="1">
      <alignment vertical="center"/>
    </xf>
    <xf numFmtId="0" fontId="0" fillId="0" borderId="0" xfId="0" applyAlignment="1">
      <alignment horizontal="right" vertical="center"/>
    </xf>
    <xf numFmtId="0" fontId="27" fillId="0" borderId="0" xfId="0" applyFont="1" applyBorder="1" applyAlignment="1">
      <alignment horizontal="center" vertical="center"/>
    </xf>
    <xf numFmtId="0" fontId="27" fillId="0" borderId="0" xfId="0" applyFont="1" applyBorder="1" applyAlignment="1">
      <alignment horizontal="right" vertical="center"/>
    </xf>
    <xf numFmtId="0" fontId="3" fillId="0" borderId="0" xfId="0" applyFont="1" applyBorder="1" applyAlignment="1">
      <alignment horizontal="right" vertical="center" shrinkToFit="1"/>
    </xf>
    <xf numFmtId="0" fontId="3" fillId="0" borderId="0" xfId="0" applyFont="1" applyBorder="1" applyAlignment="1">
      <alignment horizontal="left" vertical="center" shrinkToFit="1"/>
    </xf>
    <xf numFmtId="0" fontId="3" fillId="0" borderId="0" xfId="0" applyFont="1" applyFill="1" applyBorder="1" applyAlignment="1">
      <alignment horizontal="left" vertical="center" shrinkToFit="1"/>
    </xf>
    <xf numFmtId="0" fontId="3" fillId="0" borderId="0" xfId="0" applyFont="1" applyBorder="1" applyAlignment="1">
      <alignment vertical="center" shrinkToFit="1"/>
    </xf>
    <xf numFmtId="0" fontId="3" fillId="0" borderId="21" xfId="0" applyFont="1" applyBorder="1" applyAlignment="1">
      <alignment horizontal="left" vertical="center" shrinkToFit="1"/>
    </xf>
    <xf numFmtId="0" fontId="3" fillId="0" borderId="22" xfId="0" applyFont="1" applyBorder="1" applyAlignment="1">
      <alignment horizontal="left" vertical="center" shrinkToFi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3" fillId="0" borderId="24" xfId="0" applyFont="1" applyBorder="1" applyAlignment="1">
      <alignment vertical="center" shrinkToFit="1"/>
    </xf>
    <xf numFmtId="0" fontId="3" fillId="0" borderId="23" xfId="0" applyFont="1" applyBorder="1" applyAlignment="1">
      <alignment vertical="center" shrinkToFit="1"/>
    </xf>
    <xf numFmtId="0" fontId="3" fillId="0" borderId="22" xfId="0" applyFont="1" applyBorder="1" applyAlignment="1">
      <alignment horizontal="right" vertical="center" shrinkToFit="1"/>
    </xf>
    <xf numFmtId="0" fontId="3" fillId="0" borderId="23" xfId="0" applyFont="1" applyBorder="1" applyAlignment="1">
      <alignment horizontal="left" vertical="center" shrinkToFit="1"/>
    </xf>
    <xf numFmtId="0" fontId="3" fillId="0" borderId="25" xfId="0" applyFont="1" applyBorder="1" applyAlignment="1">
      <alignment horizontal="left" vertical="center" shrinkToFit="1"/>
    </xf>
    <xf numFmtId="0" fontId="28" fillId="3" borderId="21" xfId="0" applyFont="1" applyFill="1" applyBorder="1" applyAlignment="1"/>
    <xf numFmtId="0" fontId="29" fillId="3" borderId="22" xfId="0" applyFont="1" applyFill="1" applyBorder="1" applyAlignment="1"/>
    <xf numFmtId="0" fontId="28" fillId="3" borderId="22" xfId="0" applyFont="1" applyFill="1" applyBorder="1" applyAlignment="1"/>
    <xf numFmtId="0" fontId="28" fillId="3" borderId="25" xfId="0" applyFont="1" applyFill="1" applyBorder="1" applyAlignment="1"/>
    <xf numFmtId="0" fontId="4" fillId="0" borderId="26"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10" xfId="0" applyFont="1" applyBorder="1" applyAlignment="1">
      <alignment horizontal="left" vertical="center" shrinkToFit="1"/>
    </xf>
    <xf numFmtId="0" fontId="0" fillId="0" borderId="9" xfId="0" applyBorder="1" applyAlignment="1">
      <alignment horizontal="left" vertical="center" shrinkToFit="1"/>
    </xf>
    <xf numFmtId="0" fontId="0" fillId="0" borderId="10" xfId="0" applyBorder="1" applyAlignment="1">
      <alignment horizontal="left" vertical="center" shrinkToFit="1"/>
    </xf>
    <xf numFmtId="0" fontId="1" fillId="0" borderId="9"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2" xfId="0" applyFont="1" applyBorder="1" applyAlignment="1">
      <alignment horizontal="right" vertical="center" shrinkToFit="1"/>
    </xf>
    <xf numFmtId="0" fontId="0" fillId="0" borderId="10" xfId="0" applyBorder="1" applyAlignment="1">
      <alignment vertical="center" shrinkToFit="1"/>
    </xf>
    <xf numFmtId="14" fontId="1" fillId="4" borderId="9" xfId="0" applyNumberFormat="1" applyFont="1" applyFill="1" applyBorder="1" applyAlignment="1">
      <alignment horizontal="left" vertical="center" shrinkToFit="1"/>
    </xf>
    <xf numFmtId="0" fontId="1" fillId="4" borderId="2" xfId="0" applyFont="1" applyFill="1" applyBorder="1" applyAlignment="1">
      <alignment horizontal="left" vertical="center" shrinkToFit="1"/>
    </xf>
    <xf numFmtId="0" fontId="1" fillId="4" borderId="10" xfId="0" applyFont="1" applyFill="1" applyBorder="1" applyAlignment="1">
      <alignment horizontal="left" vertical="center" shrinkToFit="1"/>
    </xf>
    <xf numFmtId="0" fontId="0" fillId="0" borderId="2" xfId="0" applyBorder="1" applyAlignment="1">
      <alignment horizontal="left" vertical="center" shrinkToFit="1"/>
    </xf>
    <xf numFmtId="0" fontId="0" fillId="0" borderId="27" xfId="0" applyBorder="1" applyAlignment="1">
      <alignment horizontal="left" vertical="center" shrinkToFit="1"/>
    </xf>
    <xf numFmtId="0" fontId="28" fillId="3" borderId="28" xfId="0" applyFont="1" applyFill="1" applyBorder="1" applyAlignment="1">
      <alignment vertical="center"/>
    </xf>
    <xf numFmtId="0" fontId="29" fillId="3" borderId="0" xfId="0" applyFont="1" applyFill="1" applyAlignment="1">
      <alignment horizontal="center" vertical="center"/>
    </xf>
    <xf numFmtId="0" fontId="29" fillId="3" borderId="0" xfId="0" applyFont="1" applyFill="1" applyAlignment="1">
      <alignment vertical="center"/>
    </xf>
    <xf numFmtId="0" fontId="28" fillId="3" borderId="0" xfId="0" applyFont="1" applyFill="1" applyAlignment="1">
      <alignment vertical="center"/>
    </xf>
    <xf numFmtId="0" fontId="28" fillId="3" borderId="29" xfId="0" applyFont="1" applyFill="1" applyBorder="1" applyAlignment="1"/>
    <xf numFmtId="0" fontId="3" fillId="0" borderId="30"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3" xfId="0" applyFont="1" applyBorder="1" applyAlignment="1">
      <alignment vertical="center" shrinkToFit="1"/>
    </xf>
    <xf numFmtId="0" fontId="3" fillId="0" borderId="13" xfId="0" applyFont="1" applyBorder="1" applyAlignment="1">
      <alignment horizontal="left" vertical="center" shrinkToFit="1"/>
    </xf>
    <xf numFmtId="0" fontId="3" fillId="0" borderId="12" xfId="0" applyFont="1" applyBorder="1" applyAlignment="1">
      <alignment vertical="center" shrinkToFit="1"/>
    </xf>
    <xf numFmtId="0" fontId="3" fillId="0" borderId="13" xfId="0" applyFont="1" applyBorder="1" applyAlignment="1">
      <alignment vertical="center" shrinkToFit="1"/>
    </xf>
    <xf numFmtId="0" fontId="3" fillId="0" borderId="12" xfId="0" applyFont="1" applyBorder="1" applyAlignment="1">
      <alignment horizontal="left" vertical="center" shrinkToFit="1"/>
    </xf>
    <xf numFmtId="0" fontId="3" fillId="0" borderId="3" xfId="0" applyFont="1" applyBorder="1" applyAlignment="1">
      <alignment horizontal="right" vertical="center" shrinkToFit="1"/>
    </xf>
    <xf numFmtId="0" fontId="3" fillId="0" borderId="31" xfId="0" applyFont="1" applyBorder="1" applyAlignment="1">
      <alignment horizontal="left" vertical="center" shrinkToFit="1"/>
    </xf>
    <xf numFmtId="0" fontId="28" fillId="3" borderId="28" xfId="0" applyFont="1" applyFill="1" applyBorder="1" applyAlignment="1"/>
    <xf numFmtId="0" fontId="28" fillId="3" borderId="0" xfId="0" applyFont="1" applyFill="1" applyAlignment="1"/>
    <xf numFmtId="0" fontId="1" fillId="4" borderId="9" xfId="0" applyFont="1" applyFill="1" applyBorder="1" applyAlignment="1">
      <alignment horizontal="left" vertical="center" shrinkToFit="1"/>
    </xf>
    <xf numFmtId="0" fontId="0" fillId="0" borderId="2" xfId="0" applyBorder="1" applyAlignment="1">
      <alignment horizontal="right" vertical="center" shrinkToFit="1"/>
    </xf>
    <xf numFmtId="0" fontId="8" fillId="0" borderId="3" xfId="0" applyFont="1" applyBorder="1" applyAlignment="1">
      <alignment horizontal="left" vertical="center" shrinkToFit="1"/>
    </xf>
    <xf numFmtId="0" fontId="8" fillId="0" borderId="13"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0" xfId="0" applyFont="1" applyBorder="1" applyAlignment="1">
      <alignment horizontal="left" vertical="center" shrinkToFit="1"/>
    </xf>
    <xf numFmtId="0" fontId="2" fillId="0" borderId="2" xfId="0" applyFont="1" applyBorder="1" applyAlignment="1">
      <alignment horizontal="left" vertical="center" shrinkToFit="1"/>
    </xf>
    <xf numFmtId="0" fontId="2" fillId="0" borderId="2" xfId="0" applyFont="1" applyBorder="1" applyAlignment="1">
      <alignment horizontal="right" vertical="center" shrinkToFit="1"/>
    </xf>
    <xf numFmtId="0" fontId="4" fillId="4" borderId="26" xfId="0" applyFont="1" applyFill="1" applyBorder="1" applyAlignment="1">
      <alignment horizontal="center" vertical="center" shrinkToFit="1"/>
    </xf>
    <xf numFmtId="0" fontId="4" fillId="4" borderId="2" xfId="0" applyFont="1" applyFill="1" applyBorder="1" applyAlignment="1">
      <alignment horizontal="center" vertical="center" shrinkToFit="1"/>
    </xf>
    <xf numFmtId="0" fontId="4" fillId="4" borderId="10" xfId="0" applyFont="1" applyFill="1" applyBorder="1" applyAlignment="1">
      <alignment horizontal="center" vertical="center" shrinkToFit="1"/>
    </xf>
    <xf numFmtId="0" fontId="4" fillId="0" borderId="9"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1" fillId="0" borderId="9" xfId="0" applyFont="1" applyFill="1" applyBorder="1" applyAlignment="1">
      <alignment horizontal="left" vertical="center" shrinkToFit="1"/>
    </xf>
    <xf numFmtId="0" fontId="1" fillId="0" borderId="2" xfId="0" applyFont="1" applyFill="1" applyBorder="1" applyAlignment="1">
      <alignment horizontal="left" vertical="center" shrinkToFit="1"/>
    </xf>
    <xf numFmtId="0" fontId="1" fillId="0" borderId="10" xfId="0" applyFont="1" applyFill="1" applyBorder="1" applyAlignment="1">
      <alignment horizontal="left" vertical="center" shrinkToFit="1"/>
    </xf>
    <xf numFmtId="0" fontId="3" fillId="0" borderId="15" xfId="0" applyFont="1" applyBorder="1" applyAlignment="1">
      <alignment vertical="center" shrinkToFit="1"/>
    </xf>
    <xf numFmtId="0" fontId="3" fillId="0" borderId="14" xfId="0" applyFont="1" applyBorder="1" applyAlignment="1">
      <alignment vertical="center" shrinkToFit="1"/>
    </xf>
    <xf numFmtId="0" fontId="3" fillId="0" borderId="12" xfId="0" applyFont="1" applyBorder="1" applyAlignment="1">
      <alignment horizontal="right" vertical="center" shrinkToFit="1"/>
    </xf>
    <xf numFmtId="0" fontId="3" fillId="0" borderId="3" xfId="0" applyFont="1" applyBorder="1" applyAlignment="1">
      <alignment horizontal="center" vertical="center" shrinkToFit="1"/>
    </xf>
    <xf numFmtId="0" fontId="3" fillId="0" borderId="31" xfId="0" applyFont="1" applyBorder="1" applyAlignment="1">
      <alignment horizontal="center" vertical="center" shrinkToFit="1"/>
    </xf>
    <xf numFmtId="0" fontId="28" fillId="3" borderId="32" xfId="0" applyFont="1" applyFill="1" applyBorder="1" applyAlignment="1"/>
    <xf numFmtId="0" fontId="28" fillId="3" borderId="33" xfId="0" applyFont="1" applyFill="1" applyBorder="1" applyAlignment="1"/>
    <xf numFmtId="0" fontId="28" fillId="3" borderId="34" xfId="0" applyFont="1" applyFill="1" applyBorder="1" applyAlignment="1"/>
    <xf numFmtId="0" fontId="2" fillId="0" borderId="26"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9" xfId="0" applyFont="1" applyBorder="1" applyAlignment="1">
      <alignment horizontal="left" vertical="center" shrinkToFit="1"/>
    </xf>
    <xf numFmtId="0" fontId="4" fillId="4" borderId="9" xfId="0" applyFont="1" applyFill="1" applyBorder="1" applyAlignment="1">
      <alignment horizontal="left" vertical="center" shrinkToFit="1"/>
    </xf>
    <xf numFmtId="0" fontId="4" fillId="4" borderId="2" xfId="0" applyFont="1" applyFill="1" applyBorder="1" applyAlignment="1">
      <alignment horizontal="left" vertical="center" shrinkToFit="1"/>
    </xf>
    <xf numFmtId="0" fontId="4" fillId="4" borderId="10" xfId="0" applyFont="1" applyFill="1" applyBorder="1" applyAlignment="1">
      <alignment horizontal="left" vertical="center" shrinkToFit="1"/>
    </xf>
    <xf numFmtId="0" fontId="2" fillId="0" borderId="27" xfId="0" applyFont="1" applyBorder="1" applyAlignment="1">
      <alignment horizontal="left" vertical="center" shrinkToFit="1"/>
    </xf>
    <xf numFmtId="0" fontId="8" fillId="0" borderId="0" xfId="0" applyFont="1" applyAlignment="1">
      <alignment horizontal="right" vertical="center"/>
    </xf>
    <xf numFmtId="0" fontId="3" fillId="0" borderId="0" xfId="0" applyFont="1" applyAlignment="1">
      <alignment horizontal="left" vertical="center"/>
    </xf>
    <xf numFmtId="0" fontId="3" fillId="0" borderId="30" xfId="0" applyFont="1" applyBorder="1">
      <alignment vertical="center"/>
    </xf>
    <xf numFmtId="0" fontId="3" fillId="0" borderId="3" xfId="0" applyFont="1" applyBorder="1">
      <alignment vertical="center"/>
    </xf>
    <xf numFmtId="0" fontId="3" fillId="0" borderId="3" xfId="0" applyFont="1" applyBorder="1" applyAlignment="1">
      <alignment horizontal="left" vertical="center"/>
    </xf>
    <xf numFmtId="0" fontId="3" fillId="0" borderId="31" xfId="0" applyFont="1" applyBorder="1" applyAlignment="1">
      <alignment horizontal="left" vertical="center"/>
    </xf>
    <xf numFmtId="0" fontId="3" fillId="0" borderId="32" xfId="0" applyFont="1" applyBorder="1" applyAlignment="1">
      <alignment horizontal="right" vertical="center"/>
    </xf>
    <xf numFmtId="0" fontId="3" fillId="0" borderId="33" xfId="0" applyFont="1" applyBorder="1" applyAlignment="1">
      <alignment horizontal="right"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28" xfId="0" applyFont="1" applyBorder="1">
      <alignment vertical="center"/>
    </xf>
    <xf numFmtId="0" fontId="3" fillId="0" borderId="0" xfId="0" applyFont="1" applyBorder="1">
      <alignment vertical="center"/>
    </xf>
    <xf numFmtId="0" fontId="3" fillId="0" borderId="0" xfId="0" applyFont="1" applyBorder="1" applyAlignment="1">
      <alignment horizontal="left" vertical="center"/>
    </xf>
    <xf numFmtId="0" fontId="3" fillId="0" borderId="29" xfId="0" applyFont="1" applyBorder="1" applyAlignment="1">
      <alignment horizontal="left" vertical="center"/>
    </xf>
    <xf numFmtId="0" fontId="3" fillId="0" borderId="0" xfId="0" applyFont="1" applyAlignment="1">
      <alignment horizontal="right" vertical="center"/>
    </xf>
    <xf numFmtId="0" fontId="0" fillId="0" borderId="29" xfId="0" applyBorder="1" applyAlignment="1">
      <alignment horizontal="left" vertical="center"/>
    </xf>
    <xf numFmtId="0" fontId="0" fillId="0" borderId="28"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horizontal="right" vertical="center"/>
    </xf>
    <xf numFmtId="0" fontId="3" fillId="0" borderId="35" xfId="0" applyFont="1" applyBorder="1">
      <alignment vertical="center"/>
    </xf>
    <xf numFmtId="0" fontId="0" fillId="0" borderId="22" xfId="0" applyBorder="1">
      <alignment vertical="center"/>
    </xf>
    <xf numFmtId="0" fontId="0" fillId="0" borderId="25" xfId="0" applyBorder="1">
      <alignment vertical="center"/>
    </xf>
    <xf numFmtId="0" fontId="8" fillId="0" borderId="0" xfId="0" applyFont="1" applyAlignment="1">
      <alignment horizontal="left" vertical="center"/>
    </xf>
    <xf numFmtId="0" fontId="30" fillId="0" borderId="36" xfId="0" applyFont="1" applyBorder="1">
      <alignment vertical="center"/>
    </xf>
    <xf numFmtId="0" fontId="30" fillId="0" borderId="37" xfId="0" applyFont="1" applyBorder="1">
      <alignment vertical="center"/>
    </xf>
    <xf numFmtId="0" fontId="30" fillId="0" borderId="38" xfId="0" applyFont="1" applyBorder="1" applyAlignment="1">
      <alignment horizontal="left" vertical="center"/>
    </xf>
    <xf numFmtId="0" fontId="30" fillId="0" borderId="39" xfId="0" applyFont="1" applyBorder="1" applyAlignment="1">
      <alignment horizontal="right" vertical="center"/>
    </xf>
    <xf numFmtId="0" fontId="30" fillId="0" borderId="37" xfId="0" applyFont="1" applyBorder="1" applyAlignment="1">
      <alignment horizontal="right" vertical="center"/>
    </xf>
    <xf numFmtId="0" fontId="31" fillId="0" borderId="40" xfId="0" applyFont="1" applyBorder="1">
      <alignment vertical="center"/>
    </xf>
    <xf numFmtId="0" fontId="32" fillId="0" borderId="37" xfId="0" applyFont="1" applyBorder="1" applyAlignment="1">
      <alignment horizontal="center" vertical="center"/>
    </xf>
    <xf numFmtId="0" fontId="32" fillId="0" borderId="41" xfId="0" applyFont="1" applyBorder="1" applyAlignment="1">
      <alignment horizontal="center" vertical="center"/>
    </xf>
    <xf numFmtId="0" fontId="10" fillId="0" borderId="35" xfId="0" applyFont="1" applyBorder="1" applyAlignment="1">
      <alignment horizontal="center" vertical="center" shrinkToFit="1"/>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3" fillId="0" borderId="10" xfId="0" applyFont="1" applyBorder="1" applyAlignment="1">
      <alignment horizontal="center" vertical="center"/>
    </xf>
    <xf numFmtId="0" fontId="3" fillId="0" borderId="42" xfId="0" applyFont="1" applyBorder="1" applyAlignment="1">
      <alignment horizontal="center" vertical="center" shrinkToFit="1"/>
    </xf>
    <xf numFmtId="0" fontId="0" fillId="0" borderId="20" xfId="0" applyBorder="1" applyAlignment="1">
      <alignment horizontal="center" vertical="center" shrinkToFit="1"/>
    </xf>
    <xf numFmtId="0" fontId="1" fillId="0" borderId="0" xfId="0" applyFont="1" applyFill="1" applyBorder="1" applyAlignment="1">
      <alignment horizontal="left" vertical="center" shrinkToFit="1"/>
    </xf>
    <xf numFmtId="0" fontId="8" fillId="0" borderId="0" xfId="0" applyFont="1" applyFill="1" applyAlignment="1">
      <alignment horizontal="center" vertical="center" wrapText="1" shrinkToFit="1"/>
    </xf>
    <xf numFmtId="0" fontId="0" fillId="0" borderId="0" xfId="0" applyFont="1" applyFill="1" applyBorder="1" applyAlignment="1">
      <alignment vertical="center" shrinkToFit="1"/>
    </xf>
    <xf numFmtId="0" fontId="1" fillId="0" borderId="0" xfId="0" applyFont="1" applyFill="1" applyAlignment="1">
      <alignment horizontal="right" vertical="center" shrinkToFit="1"/>
    </xf>
    <xf numFmtId="0" fontId="1" fillId="0" borderId="0" xfId="0" applyFont="1" applyFill="1" applyAlignment="1">
      <alignment horizontal="center" vertical="center" shrinkToFit="1"/>
    </xf>
    <xf numFmtId="0" fontId="1" fillId="0" borderId="0" xfId="0" applyFont="1" applyAlignment="1">
      <alignment horizontal="center" vertical="center" shrinkToFit="1"/>
    </xf>
    <xf numFmtId="0" fontId="4" fillId="0" borderId="0" xfId="0" applyFont="1" applyAlignment="1">
      <alignment horizontal="center" vertical="center" shrinkToFit="1"/>
    </xf>
    <xf numFmtId="0" fontId="0" fillId="0" borderId="0" xfId="0" applyFont="1" applyBorder="1" applyAlignment="1">
      <alignment vertical="center" shrinkToFit="1"/>
    </xf>
    <xf numFmtId="0" fontId="0" fillId="0" borderId="1" xfId="0" applyBorder="1" applyAlignment="1">
      <alignment horizontal="center" vertical="center" shrinkToFit="1"/>
    </xf>
    <xf numFmtId="0" fontId="0" fillId="0" borderId="14" xfId="0" applyBorder="1" applyAlignment="1">
      <alignment vertical="center" shrinkToFit="1"/>
    </xf>
    <xf numFmtId="0" fontId="0" fillId="0" borderId="0" xfId="0" applyFont="1" applyFill="1" applyAlignment="1">
      <alignment horizontal="left" vertical="center" shrinkToFit="1"/>
    </xf>
    <xf numFmtId="0" fontId="8" fillId="0" borderId="0" xfId="0" applyFont="1" applyFill="1" applyAlignment="1">
      <alignment horizontal="left" vertical="center" wrapText="1" shrinkToFit="1"/>
    </xf>
    <xf numFmtId="0" fontId="0" fillId="0" borderId="0" xfId="0" applyFont="1" applyFill="1" applyAlignment="1">
      <alignment vertical="center" shrinkToFit="1"/>
    </xf>
    <xf numFmtId="0" fontId="0" fillId="0" borderId="0" xfId="0" applyAlignment="1">
      <alignment horizontal="center" vertical="center" shrinkToFit="1"/>
    </xf>
    <xf numFmtId="0" fontId="0" fillId="0" borderId="0" xfId="0" applyBorder="1" applyAlignment="1">
      <alignment vertical="center" shrinkToFit="1"/>
    </xf>
    <xf numFmtId="0" fontId="0" fillId="0" borderId="15" xfId="0" applyBorder="1" applyAlignment="1">
      <alignment vertical="center" shrinkToFit="1"/>
    </xf>
    <xf numFmtId="0" fontId="3" fillId="0" borderId="9" xfId="0" applyFont="1" applyBorder="1" applyAlignment="1">
      <alignment horizontal="center" vertical="center" shrinkToFit="1"/>
    </xf>
    <xf numFmtId="0" fontId="0" fillId="0" borderId="2" xfId="0" applyFont="1" applyFill="1" applyBorder="1" applyAlignment="1">
      <alignment horizontal="left" vertical="center" shrinkToFit="1"/>
    </xf>
    <xf numFmtId="0" fontId="8" fillId="0" borderId="2" xfId="0" applyFont="1" applyFill="1" applyBorder="1" applyAlignment="1">
      <alignment horizontal="left" vertical="center" wrapText="1" shrinkToFit="1"/>
    </xf>
    <xf numFmtId="0" fontId="1" fillId="0" borderId="2" xfId="0" applyFont="1" applyFill="1" applyBorder="1" applyAlignment="1">
      <alignment vertical="center" shrinkToFit="1"/>
    </xf>
    <xf numFmtId="0" fontId="1" fillId="0" borderId="2" xfId="0" applyFont="1" applyFill="1" applyBorder="1" applyAlignment="1">
      <alignment horizontal="right" vertical="center" shrinkToFit="1"/>
    </xf>
    <xf numFmtId="0" fontId="1" fillId="0" borderId="2" xfId="0" applyFont="1" applyFill="1" applyBorder="1" applyAlignment="1">
      <alignment horizontal="center" vertical="center" shrinkToFit="1"/>
    </xf>
    <xf numFmtId="0" fontId="0" fillId="0" borderId="2" xfId="0" applyBorder="1" applyAlignment="1">
      <alignment horizontal="center" vertical="center" shrinkToFit="1"/>
    </xf>
    <xf numFmtId="0" fontId="0" fillId="0" borderId="2" xfId="0" applyBorder="1" applyAlignment="1">
      <alignment vertical="center" shrinkToFit="1"/>
    </xf>
    <xf numFmtId="0" fontId="0" fillId="0" borderId="11" xfId="0" applyBorder="1" applyAlignment="1">
      <alignment vertical="center" shrinkToFit="1"/>
    </xf>
    <xf numFmtId="0" fontId="0" fillId="0" borderId="0" xfId="0" applyBorder="1" applyAlignment="1">
      <alignment horizontal="left" vertical="center" shrinkToFit="1"/>
    </xf>
    <xf numFmtId="0" fontId="0" fillId="0" borderId="0" xfId="0" applyBorder="1" applyAlignment="1">
      <alignment horizontal="center" vertical="center" shrinkToFit="1"/>
    </xf>
    <xf numFmtId="0" fontId="0" fillId="0" borderId="0" xfId="0" applyAlignment="1">
      <alignment horizontal="right" vertical="center" shrinkToFit="1"/>
    </xf>
    <xf numFmtId="0" fontId="0" fillId="0" borderId="16" xfId="0" applyBorder="1" applyAlignment="1">
      <alignment vertical="center" shrinkToFit="1"/>
    </xf>
    <xf numFmtId="0" fontId="0" fillId="0" borderId="17" xfId="0" applyBorder="1" applyAlignment="1">
      <alignment horizontal="center" vertical="center" shrinkToFit="1"/>
    </xf>
    <xf numFmtId="0" fontId="0" fillId="0" borderId="0" xfId="0" applyAlignment="1">
      <alignment horizontal="left" vertical="center" shrinkToFit="1"/>
    </xf>
    <xf numFmtId="0" fontId="3" fillId="0" borderId="0" xfId="0" applyFont="1" applyAlignment="1">
      <alignment horizontal="left" vertical="center" wrapText="1" shrinkToFit="1"/>
    </xf>
    <xf numFmtId="0" fontId="0" fillId="0" borderId="0" xfId="0" applyAlignment="1">
      <alignment vertical="center" shrinkToFit="1"/>
    </xf>
    <xf numFmtId="0" fontId="3" fillId="0" borderId="2" xfId="0" applyFont="1" applyBorder="1" applyAlignment="1">
      <alignment horizontal="left" vertical="center" wrapText="1" shrinkToFit="1"/>
    </xf>
    <xf numFmtId="0" fontId="33" fillId="0" borderId="0" xfId="0" applyFont="1">
      <alignment vertical="center"/>
    </xf>
    <xf numFmtId="0" fontId="34" fillId="0" borderId="0" xfId="0" applyFont="1">
      <alignment vertical="center"/>
    </xf>
    <xf numFmtId="0" fontId="2" fillId="0" borderId="9" xfId="0" applyFont="1" applyBorder="1" applyAlignment="1" quotePrefix="1">
      <alignment horizontal="left" vertical="center" shrinkToFit="1"/>
    </xf>
    <xf numFmtId="0" fontId="4" fillId="4" borderId="26" xfId="0" applyFont="1" applyFill="1" applyBorder="1" applyAlignment="1" quotePrefix="1">
      <alignment horizontal="center" vertical="center" shrinkToFit="1"/>
    </xf>
    <xf numFmtId="0" fontId="0" fillId="0" borderId="2" xfId="0" applyNumberFormat="1" applyFont="1" applyBorder="1" applyAlignment="1" applyProtection="1" quotePrefix="1">
      <alignment horizontal="left" vertical="center" wrapText="1"/>
    </xf>
    <xf numFmtId="0" fontId="11" fillId="0" borderId="2" xfId="0" applyNumberFormat="1" applyFont="1" applyFill="1" applyBorder="1" applyAlignment="1" applyProtection="1" quotePrefix="1">
      <alignment horizontal="left" vertical="center" wrapText="1"/>
    </xf>
    <xf numFmtId="0" fontId="11" fillId="0" borderId="2" xfId="0" applyNumberFormat="1" applyFont="1" applyBorder="1" applyAlignment="1" applyProtection="1" quotePrefix="1">
      <alignment horizontal="left" vertical="center" wrapText="1"/>
    </xf>
    <xf numFmtId="0" fontId="11" fillId="0" borderId="0" xfId="0" applyNumberFormat="1" applyFont="1" applyFill="1" applyBorder="1" applyAlignment="1" applyProtection="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47625</xdr:colOff>
      <xdr:row>17</xdr:row>
      <xdr:rowOff>38100</xdr:rowOff>
    </xdr:from>
    <xdr:to>
      <xdr:col>33</xdr:col>
      <xdr:colOff>0</xdr:colOff>
      <xdr:row>24</xdr:row>
      <xdr:rowOff>28575</xdr:rowOff>
    </xdr:to>
    <xdr:pic>
      <xdr:nvPicPr>
        <xdr:cNvPr id="22814"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3506450" y="3162300"/>
          <a:ext cx="749617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7</xdr:row>
      <xdr:rowOff>142875</xdr:rowOff>
    </xdr:from>
    <xdr:to>
      <xdr:col>7</xdr:col>
      <xdr:colOff>733425</xdr:colOff>
      <xdr:row>8</xdr:row>
      <xdr:rowOff>76200</xdr:rowOff>
    </xdr:to>
    <xdr:sp>
      <xdr:nvSpPr>
        <xdr:cNvPr id="41676" name="Line 1033"/>
        <xdr:cNvSpPr>
          <a:spLocks noChangeShapeType="1"/>
        </xdr:cNvSpPr>
      </xdr:nvSpPr>
      <xdr:spPr>
        <a:xfrm rot="-180000">
          <a:off x="5619750" y="1899285"/>
          <a:ext cx="1171575"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0</xdr:colOff>
      <xdr:row>10</xdr:row>
      <xdr:rowOff>0</xdr:rowOff>
    </xdr:from>
    <xdr:to>
      <xdr:col>7</xdr:col>
      <xdr:colOff>723900</xdr:colOff>
      <xdr:row>10</xdr:row>
      <xdr:rowOff>0</xdr:rowOff>
    </xdr:to>
    <xdr:sp>
      <xdr:nvSpPr>
        <xdr:cNvPr id="41677" name="Line 1034"/>
        <xdr:cNvSpPr>
          <a:spLocks noChangeShapeType="1"/>
        </xdr:cNvSpPr>
      </xdr:nvSpPr>
      <xdr:spPr>
        <a:xfrm>
          <a:off x="5610225" y="2280285"/>
          <a:ext cx="1171575"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66675</xdr:colOff>
      <xdr:row>6</xdr:row>
      <xdr:rowOff>0</xdr:rowOff>
    </xdr:from>
    <xdr:to>
      <xdr:col>7</xdr:col>
      <xdr:colOff>781050</xdr:colOff>
      <xdr:row>6</xdr:row>
      <xdr:rowOff>76200</xdr:rowOff>
    </xdr:to>
    <xdr:sp>
      <xdr:nvSpPr>
        <xdr:cNvPr id="41678" name="Line 1033"/>
        <xdr:cNvSpPr>
          <a:spLocks noChangeShapeType="1"/>
        </xdr:cNvSpPr>
      </xdr:nvSpPr>
      <xdr:spPr>
        <a:xfrm rot="-180000">
          <a:off x="5676900" y="1591310"/>
          <a:ext cx="1162050"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19050</xdr:colOff>
      <xdr:row>12</xdr:row>
      <xdr:rowOff>38100</xdr:rowOff>
    </xdr:from>
    <xdr:to>
      <xdr:col>7</xdr:col>
      <xdr:colOff>742950</xdr:colOff>
      <xdr:row>12</xdr:row>
      <xdr:rowOff>38100</xdr:rowOff>
    </xdr:to>
    <xdr:sp>
      <xdr:nvSpPr>
        <xdr:cNvPr id="41679" name="Line 1034"/>
        <xdr:cNvSpPr>
          <a:spLocks noChangeShapeType="1"/>
        </xdr:cNvSpPr>
      </xdr:nvSpPr>
      <xdr:spPr>
        <a:xfrm>
          <a:off x="5629275" y="2733040"/>
          <a:ext cx="1171575"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133350</xdr:colOff>
      <xdr:row>1</xdr:row>
      <xdr:rowOff>123825</xdr:rowOff>
    </xdr:from>
    <xdr:to>
      <xdr:col>18</xdr:col>
      <xdr:colOff>581025</xdr:colOff>
      <xdr:row>45</xdr:row>
      <xdr:rowOff>47625</xdr:rowOff>
    </xdr:to>
    <xdr:pic>
      <xdr:nvPicPr>
        <xdr:cNvPr id="23791" name="图片 1" descr="MINM9TB(6DQB{[LH}I[D65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9144000" y="304800"/>
          <a:ext cx="7305675" cy="841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mzn1.tortuga.4.eu.e637baa3-f01b-4b20-80dd-934dbed35cc1.T15J4UVGPD574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finizioni dati"/>
      <sheetName val="Dropdown Lists"/>
      <sheetName val="AttributePTDMAP"/>
      <sheetName val="Modello"/>
      <sheetName val="Conditions List"/>
      <sheetName val="Valori validi"/>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Y182"/>
  <sheetViews>
    <sheetView showZeros="0" tabSelected="1" view="pageBreakPreview" zoomScaleNormal="100" workbookViewId="0">
      <selection activeCell="K4" sqref="K4:N4"/>
    </sheetView>
  </sheetViews>
  <sheetFormatPr defaultColWidth="9" defaultRowHeight="14.25"/>
  <cols>
    <col min="1" max="1" width="6.25" customWidth="1"/>
    <col min="2" max="2" width="7.375" customWidth="1"/>
    <col min="3" max="3" width="6" customWidth="1"/>
    <col min="4" max="4" width="21" customWidth="1"/>
    <col min="5" max="5" width="10.875" customWidth="1"/>
    <col min="6" max="6" width="12.375" customWidth="1"/>
    <col min="7" max="7" width="11" customWidth="1"/>
    <col min="8" max="8" width="6.75" customWidth="1"/>
    <col min="9" max="9" width="7.875" style="196" customWidth="1"/>
    <col min="10" max="10" width="7.125" customWidth="1"/>
    <col min="11" max="11" width="7.625" customWidth="1"/>
    <col min="12" max="12" width="5.375" customWidth="1"/>
    <col min="13" max="13" width="5.25" customWidth="1"/>
    <col min="14" max="14" width="5.125" customWidth="1"/>
    <col min="15" max="15" width="7.25" customWidth="1"/>
    <col min="16" max="16" width="4.125" customWidth="1"/>
    <col min="17" max="17" width="6.25" customWidth="1"/>
    <col min="18" max="18" width="7.625" customWidth="1"/>
    <col min="19" max="19" width="8.5" customWidth="1"/>
    <col min="20" max="20" width="8.25" customWidth="1"/>
    <col min="21" max="21" width="7.75" customWidth="1"/>
    <col min="22" max="22" width="6.875" customWidth="1"/>
  </cols>
  <sheetData>
    <row r="1" ht="33" customHeight="1" spans="1:28">
      <c r="A1" s="197" t="s">
        <v>0</v>
      </c>
      <c r="B1" s="197"/>
      <c r="C1" s="197"/>
      <c r="D1" s="197"/>
      <c r="E1" s="197"/>
      <c r="F1" s="197"/>
      <c r="G1" s="197"/>
      <c r="H1" s="197"/>
      <c r="I1" s="198"/>
      <c r="J1" s="197"/>
      <c r="K1" s="197"/>
      <c r="L1" s="197"/>
      <c r="M1" s="197"/>
      <c r="N1" s="197"/>
      <c r="O1" s="197"/>
      <c r="P1" s="197"/>
      <c r="Q1" s="197"/>
      <c r="R1" s="197"/>
      <c r="S1" s="197"/>
    </row>
    <row r="2" s="194" customFormat="1" ht="12.75" spans="1:28">
      <c r="A2" s="199" t="s">
        <v>1</v>
      </c>
      <c r="B2" s="199"/>
      <c r="C2" s="200"/>
      <c r="D2" s="200"/>
      <c r="E2" s="200"/>
      <c r="F2" s="199" t="s">
        <v>2</v>
      </c>
      <c r="G2" s="200"/>
      <c r="H2" s="200"/>
      <c r="I2" s="199" t="s">
        <v>3</v>
      </c>
      <c r="J2" s="201"/>
      <c r="K2" s="201"/>
      <c r="L2" s="201"/>
      <c r="M2" s="201"/>
      <c r="N2" s="201"/>
      <c r="O2" s="202"/>
      <c r="P2" s="202"/>
      <c r="Q2" s="202"/>
      <c r="R2" s="202"/>
      <c r="S2" s="202"/>
    </row>
    <row r="3" s="194" customFormat="1" ht="12" spans="1:28">
      <c r="A3" s="203" t="s">
        <v>4</v>
      </c>
      <c r="B3" s="204"/>
      <c r="C3" s="205" t="s">
        <v>5</v>
      </c>
      <c r="D3" s="206"/>
      <c r="E3" s="207" t="s">
        <v>6</v>
      </c>
      <c r="F3" s="208" t="s">
        <v>7</v>
      </c>
      <c r="G3" s="207" t="s">
        <v>8</v>
      </c>
      <c r="H3" s="204"/>
      <c r="I3" s="209"/>
      <c r="J3" s="210"/>
      <c r="K3" s="207" t="s">
        <v>9</v>
      </c>
      <c r="L3" s="204"/>
      <c r="M3" s="204"/>
      <c r="N3" s="210"/>
      <c r="O3" s="207" t="s">
        <v>10</v>
      </c>
      <c r="P3" s="204"/>
      <c r="Q3" s="204"/>
      <c r="R3" s="204"/>
      <c r="S3" s="211"/>
      <c r="U3" s="212" t="s">
        <v>11</v>
      </c>
      <c r="V3" s="213" t="s">
        <v>12</v>
      </c>
      <c r="W3" s="214"/>
      <c r="X3" s="214"/>
      <c r="Y3" s="214"/>
      <c r="Z3" s="214"/>
      <c r="AA3" s="215"/>
    </row>
    <row r="4" spans="1:28">
      <c r="A4" s="216" t="s">
        <v>13</v>
      </c>
      <c r="B4" s="217"/>
      <c r="C4" s="217"/>
      <c r="D4" s="218"/>
      <c r="E4" s="219"/>
      <c r="F4" s="220"/>
      <c r="G4" s="221"/>
      <c r="H4" s="222"/>
      <c r="I4" s="223"/>
      <c r="J4" s="224"/>
      <c r="K4" s="225">
        <v>46266</v>
      </c>
      <c r="L4" s="226"/>
      <c r="M4" s="226"/>
      <c r="N4" s="227"/>
      <c r="O4" s="219"/>
      <c r="P4" s="228"/>
      <c r="Q4" s="228"/>
      <c r="R4" s="228"/>
      <c r="S4" s="229"/>
      <c r="U4" s="230" t="s">
        <v>14</v>
      </c>
      <c r="V4" s="231" t="str">
        <f>I12</f>
        <v>C&amp;F</v>
      </c>
      <c r="W4" s="232" t="s">
        <v>15</v>
      </c>
      <c r="X4" s="233" t="s">
        <v>16</v>
      </c>
      <c r="Y4" s="232" t="s">
        <v>17</v>
      </c>
      <c r="Z4" s="233"/>
      <c r="AA4" s="234"/>
    </row>
    <row r="5" s="194" customFormat="1" ht="12" spans="1:28">
      <c r="A5" s="235" t="s">
        <v>18</v>
      </c>
      <c r="B5" s="236"/>
      <c r="C5" s="237" t="s">
        <v>19</v>
      </c>
      <c r="D5" s="238" t="s">
        <v>20</v>
      </c>
      <c r="E5" s="239" t="s">
        <v>21</v>
      </c>
      <c r="F5" s="240" t="s">
        <v>7</v>
      </c>
      <c r="G5" s="241" t="s">
        <v>22</v>
      </c>
      <c r="H5" s="236"/>
      <c r="I5" s="242"/>
      <c r="J5" s="238"/>
      <c r="K5" s="239" t="s">
        <v>23</v>
      </c>
      <c r="L5" s="236"/>
      <c r="M5" s="236"/>
      <c r="N5" s="238"/>
      <c r="O5" s="241"/>
      <c r="P5" s="236"/>
      <c r="Q5" s="236"/>
      <c r="R5" s="236"/>
      <c r="S5" s="243"/>
      <c r="U5" s="244" t="s">
        <v>24</v>
      </c>
      <c r="V5" s="245" t="str">
        <f>A4</f>
        <v>郑州嘉可文贸易有限公司</v>
      </c>
      <c r="W5" s="245"/>
      <c r="X5" s="245"/>
      <c r="Y5" s="245"/>
      <c r="Z5" s="245"/>
      <c r="AA5" s="234"/>
    </row>
    <row r="6" spans="1:28">
      <c r="A6" s="216" t="s">
        <v>25</v>
      </c>
      <c r="B6" s="217"/>
      <c r="C6" s="217"/>
      <c r="D6" s="218"/>
      <c r="E6" s="246" t="s">
        <v>26</v>
      </c>
      <c r="F6" s="227"/>
      <c r="G6" s="219"/>
      <c r="H6" s="228"/>
      <c r="I6" s="247"/>
      <c r="J6" s="220"/>
      <c r="K6" s="219"/>
      <c r="L6" s="228"/>
      <c r="M6" s="228"/>
      <c r="N6" s="220"/>
      <c r="O6" s="219"/>
      <c r="P6" s="228"/>
      <c r="Q6" s="228"/>
      <c r="R6" s="228"/>
      <c r="S6" s="229"/>
      <c r="U6" s="244" t="s">
        <v>27</v>
      </c>
      <c r="V6" s="245" t="s">
        <v>28</v>
      </c>
      <c r="W6" s="245"/>
      <c r="X6" s="245"/>
      <c r="Y6" s="245"/>
      <c r="Z6" s="245"/>
      <c r="AA6" s="234"/>
    </row>
    <row r="7" s="194" customFormat="1" ht="12" spans="1:28">
      <c r="A7" s="235" t="s">
        <v>29</v>
      </c>
      <c r="B7" s="236"/>
      <c r="C7" s="248" t="str">
        <f>C3</f>
        <v>91410100MAKBTACC38</v>
      </c>
      <c r="D7" s="249"/>
      <c r="E7" s="239" t="s">
        <v>30</v>
      </c>
      <c r="F7" s="240" t="s">
        <v>7</v>
      </c>
      <c r="G7" s="239" t="s">
        <v>31</v>
      </c>
      <c r="H7" s="236" t="s">
        <v>7</v>
      </c>
      <c r="I7" s="242"/>
      <c r="J7" s="238"/>
      <c r="K7" s="239" t="s">
        <v>32</v>
      </c>
      <c r="L7" s="236"/>
      <c r="M7" s="236"/>
      <c r="N7" s="238"/>
      <c r="O7" s="239"/>
      <c r="P7" s="236"/>
      <c r="Q7" s="236"/>
      <c r="R7" s="236"/>
      <c r="S7" s="243"/>
      <c r="U7" s="230" t="s">
        <v>33</v>
      </c>
      <c r="V7" s="233" t="s">
        <v>34</v>
      </c>
      <c r="W7" s="233"/>
      <c r="X7" s="233" t="s">
        <v>35</v>
      </c>
      <c r="Y7" s="233" t="s">
        <v>36</v>
      </c>
      <c r="Z7" s="245"/>
      <c r="AA7" s="234"/>
    </row>
    <row r="8" spans="1:28">
      <c r="A8" s="216" t="str">
        <f>A4</f>
        <v>郑州嘉可文贸易有限公司</v>
      </c>
      <c r="B8" s="217"/>
      <c r="C8" s="217"/>
      <c r="D8" s="218"/>
      <c r="E8" s="351" t="s">
        <v>37</v>
      </c>
      <c r="F8" s="251"/>
      <c r="G8" s="250" t="s">
        <v>38</v>
      </c>
      <c r="H8" s="252"/>
      <c r="I8" s="253"/>
      <c r="J8" s="224"/>
      <c r="K8" s="219"/>
      <c r="L8" s="228"/>
      <c r="M8" s="228"/>
      <c r="N8" s="220"/>
      <c r="O8" s="219"/>
      <c r="P8" s="228"/>
      <c r="Q8" s="228"/>
      <c r="R8" s="228"/>
      <c r="S8" s="229"/>
      <c r="U8" s="244" t="s">
        <v>39</v>
      </c>
      <c r="V8" s="245" t="str">
        <f>A6</f>
        <v>Jiakewen Trading Limited</v>
      </c>
      <c r="W8" s="245"/>
      <c r="X8" s="245"/>
      <c r="Y8" s="245"/>
      <c r="Z8" s="245"/>
      <c r="AA8" s="234"/>
    </row>
    <row r="9" s="194" customFormat="1" ht="12" spans="1:28">
      <c r="A9" s="235" t="s">
        <v>40</v>
      </c>
      <c r="B9" s="236"/>
      <c r="C9" s="236"/>
      <c r="D9" s="238"/>
      <c r="E9" s="239" t="s">
        <v>41</v>
      </c>
      <c r="F9" s="240" t="s">
        <v>7</v>
      </c>
      <c r="G9" s="239" t="s">
        <v>42</v>
      </c>
      <c r="H9" s="236" t="s">
        <v>7</v>
      </c>
      <c r="I9" s="242"/>
      <c r="J9" s="236"/>
      <c r="K9" s="239" t="s">
        <v>43</v>
      </c>
      <c r="L9" s="236" t="s">
        <v>7</v>
      </c>
      <c r="M9" s="236"/>
      <c r="N9" s="238"/>
      <c r="O9" s="239" t="s">
        <v>44</v>
      </c>
      <c r="P9" s="236" t="s">
        <v>7</v>
      </c>
      <c r="Q9" s="236"/>
      <c r="R9" s="236"/>
      <c r="S9" s="243"/>
      <c r="U9" s="230" t="s">
        <v>45</v>
      </c>
      <c r="V9" s="245" t="s">
        <v>46</v>
      </c>
      <c r="W9" s="233"/>
      <c r="X9" s="233"/>
      <c r="Y9" s="233"/>
      <c r="Z9" s="245"/>
      <c r="AA9" s="234"/>
    </row>
    <row r="10" spans="1:28">
      <c r="A10" s="352" t="s">
        <v>47</v>
      </c>
      <c r="B10" s="255"/>
      <c r="C10" s="255"/>
      <c r="D10" s="256"/>
      <c r="E10" s="257" t="s">
        <v>48</v>
      </c>
      <c r="F10" s="258"/>
      <c r="G10" s="259" t="s">
        <v>49</v>
      </c>
      <c r="H10" s="260"/>
      <c r="I10" s="260"/>
      <c r="J10" s="260"/>
      <c r="K10" s="259" t="s">
        <v>49</v>
      </c>
      <c r="L10" s="260"/>
      <c r="M10" s="260"/>
      <c r="N10" s="261"/>
      <c r="O10" s="219"/>
      <c r="P10" s="228"/>
      <c r="Q10" s="228"/>
      <c r="R10" s="228"/>
      <c r="S10" s="229"/>
      <c r="U10" s="244" t="s">
        <v>50</v>
      </c>
      <c r="V10" s="245"/>
      <c r="W10" s="245"/>
      <c r="X10" s="245" t="s">
        <v>51</v>
      </c>
      <c r="Y10" s="245"/>
      <c r="Z10" s="245"/>
      <c r="AA10" s="234"/>
    </row>
    <row r="11" s="194" customFormat="1" ht="12.75" spans="1:28">
      <c r="A11" s="235" t="s">
        <v>52</v>
      </c>
      <c r="B11" s="236"/>
      <c r="C11" s="236" t="s">
        <v>7</v>
      </c>
      <c r="D11" s="238"/>
      <c r="E11" s="262" t="s">
        <v>53</v>
      </c>
      <c r="F11" s="263" t="s">
        <v>54</v>
      </c>
      <c r="G11" s="241" t="s">
        <v>55</v>
      </c>
      <c r="H11" s="238"/>
      <c r="I11" s="264" t="s">
        <v>56</v>
      </c>
      <c r="J11" s="237" t="s">
        <v>57</v>
      </c>
      <c r="K11" s="239" t="s">
        <v>58</v>
      </c>
      <c r="L11" s="236"/>
      <c r="M11" s="238"/>
      <c r="N11" s="237" t="s">
        <v>59</v>
      </c>
      <c r="O11" s="236"/>
      <c r="P11" s="238"/>
      <c r="Q11" s="239" t="s">
        <v>60</v>
      </c>
      <c r="R11" s="265"/>
      <c r="S11" s="266"/>
      <c r="U11" s="267" t="s">
        <v>61</v>
      </c>
      <c r="V11" s="268"/>
      <c r="W11" s="268"/>
      <c r="X11" s="268" t="s">
        <v>62</v>
      </c>
      <c r="Y11" s="268"/>
      <c r="Z11" s="268"/>
      <c r="AA11" s="269"/>
    </row>
    <row r="12" spans="1:28">
      <c r="A12" s="270" t="s">
        <v>63</v>
      </c>
      <c r="B12" s="252"/>
      <c r="C12" s="252"/>
      <c r="D12" s="251"/>
      <c r="E12" s="271">
        <f>V18</f>
        <v>0</v>
      </c>
      <c r="F12" s="271">
        <f>U18</f>
        <v>0</v>
      </c>
      <c r="G12" s="272">
        <f>T18</f>
        <v>0</v>
      </c>
      <c r="H12" s="218"/>
      <c r="I12" s="250" t="s">
        <v>64</v>
      </c>
      <c r="J12" s="252"/>
      <c r="K12" s="273" t="s">
        <v>65</v>
      </c>
      <c r="L12" s="274"/>
      <c r="M12" s="275"/>
      <c r="N12" s="252"/>
      <c r="O12" s="252"/>
      <c r="P12" s="251"/>
      <c r="Q12" s="250"/>
      <c r="R12" s="252"/>
      <c r="S12" s="276"/>
      <c r="T12" s="277" t="s">
        <v>66</v>
      </c>
      <c r="U12" s="277"/>
      <c r="V12" s="277"/>
      <c r="W12" s="278" t="s">
        <v>67</v>
      </c>
      <c r="X12" s="278"/>
      <c r="Y12" s="278"/>
      <c r="Z12" s="278"/>
      <c r="AA12" s="278"/>
      <c r="AB12" s="278"/>
    </row>
    <row r="13" s="194" customFormat="1" ht="12" spans="1:28">
      <c r="A13" s="279" t="s">
        <v>68</v>
      </c>
      <c r="B13" s="280"/>
      <c r="C13" s="281"/>
      <c r="D13" s="281"/>
      <c r="E13" s="281"/>
      <c r="F13" s="281"/>
      <c r="G13" s="281"/>
      <c r="H13" s="281"/>
      <c r="I13" s="281"/>
      <c r="J13" s="281"/>
      <c r="K13" s="281"/>
      <c r="L13" s="281"/>
      <c r="M13" s="281"/>
      <c r="N13" s="281"/>
      <c r="O13" s="281"/>
      <c r="P13" s="281"/>
      <c r="Q13" s="281"/>
      <c r="R13" s="281"/>
      <c r="S13" s="282"/>
      <c r="T13" s="277" t="s">
        <v>69</v>
      </c>
      <c r="U13" s="277"/>
      <c r="V13" s="277"/>
      <c r="W13" s="278" t="s">
        <v>70</v>
      </c>
      <c r="X13" s="278"/>
      <c r="Y13" s="278"/>
      <c r="Z13" s="278"/>
      <c r="AA13" s="278"/>
      <c r="AB13" s="278"/>
    </row>
    <row r="14" s="194" customFormat="1" ht="12.75" spans="1:28">
      <c r="A14" s="283" t="s">
        <v>71</v>
      </c>
      <c r="B14" s="284"/>
      <c r="C14" s="284"/>
      <c r="D14" s="285" t="str">
        <f>A6</f>
        <v>Jiakewen Trading Limited</v>
      </c>
      <c r="E14" s="285"/>
      <c r="F14" s="285"/>
      <c r="G14" s="285"/>
      <c r="H14" s="285"/>
      <c r="I14" s="285"/>
      <c r="J14" s="285"/>
      <c r="K14" s="285"/>
      <c r="L14" s="285"/>
      <c r="M14" s="285"/>
      <c r="N14" s="285"/>
      <c r="O14" s="285"/>
      <c r="P14" s="285"/>
      <c r="Q14" s="285"/>
      <c r="R14" s="285"/>
      <c r="S14" s="286"/>
      <c r="T14" s="277" t="s">
        <v>72</v>
      </c>
      <c r="U14" s="277"/>
      <c r="V14" s="277"/>
      <c r="W14" s="278" t="s">
        <v>73</v>
      </c>
      <c r="X14" s="278"/>
      <c r="Y14" s="278"/>
      <c r="Z14" s="278"/>
      <c r="AA14" s="278"/>
      <c r="AB14" s="278"/>
    </row>
    <row r="15" s="194" customFormat="1" ht="13.5" spans="1:28">
      <c r="A15" s="287" t="s">
        <v>74</v>
      </c>
      <c r="B15" s="288"/>
      <c r="C15" s="289"/>
      <c r="D15" s="289"/>
      <c r="E15" s="289"/>
      <c r="F15" s="289"/>
      <c r="G15" s="289"/>
      <c r="H15" s="289"/>
      <c r="I15" s="289"/>
      <c r="J15" s="289"/>
      <c r="K15" s="289"/>
      <c r="L15" s="289"/>
      <c r="M15" s="289"/>
      <c r="N15" s="289"/>
      <c r="O15" s="289"/>
      <c r="P15" s="289"/>
      <c r="Q15" s="289"/>
      <c r="R15" s="289"/>
      <c r="S15" s="290"/>
      <c r="T15" s="291" t="s">
        <v>75</v>
      </c>
      <c r="U15" s="291"/>
      <c r="V15" s="291"/>
      <c r="W15" s="15" t="s">
        <v>76</v>
      </c>
      <c r="X15" s="14"/>
      <c r="Y15" s="14"/>
      <c r="Z15" s="14"/>
      <c r="AA15" s="14"/>
      <c r="AB15" s="14"/>
    </row>
    <row r="16" ht="15" spans="1:28">
      <c r="A16" s="287" t="s">
        <v>77</v>
      </c>
      <c r="B16" s="5"/>
      <c r="C16" s="5"/>
      <c r="D16" s="5"/>
      <c r="E16" s="5"/>
      <c r="F16" s="5"/>
      <c r="G16" s="5"/>
      <c r="H16" s="5"/>
      <c r="I16" s="5"/>
      <c r="J16" s="5"/>
      <c r="K16" s="5"/>
      <c r="L16" s="5"/>
      <c r="M16" s="5"/>
      <c r="N16" s="5"/>
      <c r="O16" s="5"/>
      <c r="P16" s="5"/>
      <c r="Q16" s="5"/>
      <c r="R16" s="5"/>
      <c r="S16" s="292"/>
      <c r="T16" s="291" t="s">
        <v>78</v>
      </c>
      <c r="U16" s="291"/>
      <c r="V16" s="291"/>
      <c r="W16" s="15" t="s">
        <v>79</v>
      </c>
      <c r="X16" s="14"/>
      <c r="Y16" s="14"/>
      <c r="Z16" s="14"/>
      <c r="AA16" s="14"/>
      <c r="AB16" s="14"/>
    </row>
    <row r="17" ht="15" spans="1:29">
      <c r="A17" s="293"/>
      <c r="B17" s="294"/>
      <c r="C17" s="294"/>
      <c r="D17" s="294"/>
      <c r="E17" s="294"/>
      <c r="F17" s="294"/>
      <c r="G17" s="294"/>
      <c r="H17" s="294"/>
      <c r="I17" s="294"/>
      <c r="J17" s="294"/>
      <c r="K17" s="294"/>
      <c r="L17" s="295" t="s">
        <v>80</v>
      </c>
      <c r="M17" s="295"/>
      <c r="N17" s="295"/>
      <c r="O17" s="289"/>
      <c r="P17" s="289"/>
      <c r="Q17" s="289"/>
      <c r="R17" s="289"/>
      <c r="S17" s="290"/>
      <c r="T17" s="296" t="s">
        <v>81</v>
      </c>
      <c r="U17" s="297"/>
      <c r="V17" s="298"/>
      <c r="W17" s="299" t="s">
        <v>82</v>
      </c>
      <c r="X17" s="278"/>
      <c r="Y17" s="278"/>
      <c r="Z17" s="278"/>
      <c r="AA17" s="278"/>
      <c r="AB17" s="278"/>
      <c r="AC17" s="278"/>
    </row>
    <row r="18" s="195" customFormat="1" spans="1:29">
      <c r="A18" s="300" t="s">
        <v>83</v>
      </c>
      <c r="B18" s="301"/>
      <c r="C18" s="302"/>
      <c r="D18" s="303" t="s">
        <v>84</v>
      </c>
      <c r="E18" s="302"/>
      <c r="F18" s="304" t="s">
        <v>85</v>
      </c>
      <c r="G18" s="304"/>
      <c r="H18" s="302"/>
      <c r="I18" s="303" t="s">
        <v>86</v>
      </c>
      <c r="J18" s="304"/>
      <c r="K18" s="305" t="s">
        <v>87</v>
      </c>
      <c r="L18" s="306" t="s">
        <v>88</v>
      </c>
      <c r="M18" s="306"/>
      <c r="N18" s="306"/>
      <c r="O18" s="306"/>
      <c r="P18" s="306"/>
      <c r="Q18" s="306"/>
      <c r="R18" s="306"/>
      <c r="S18" s="307"/>
      <c r="T18" s="308">
        <f>SUM(T20:T429)</f>
        <v>0</v>
      </c>
      <c r="U18" s="308">
        <f>SUM(U20:U429)</f>
        <v>0</v>
      </c>
      <c r="V18" s="308">
        <f>SUM(V20:V429)</f>
        <v>0</v>
      </c>
    </row>
    <row r="19" s="194" customFormat="1" ht="12" spans="1:29">
      <c r="A19" s="309" t="s">
        <v>89</v>
      </c>
      <c r="B19" s="310" t="s">
        <v>90</v>
      </c>
      <c r="C19" s="310"/>
      <c r="D19" s="310" t="s">
        <v>91</v>
      </c>
      <c r="E19" s="310"/>
      <c r="F19" s="310"/>
      <c r="G19" s="310" t="s">
        <v>92</v>
      </c>
      <c r="H19" s="310"/>
      <c r="I19" s="311" t="s">
        <v>93</v>
      </c>
      <c r="J19" s="311"/>
      <c r="K19" s="310" t="s">
        <v>94</v>
      </c>
      <c r="L19" s="310"/>
      <c r="M19" s="310" t="s">
        <v>95</v>
      </c>
      <c r="N19" s="310"/>
      <c r="O19" s="310"/>
      <c r="P19" s="311" t="s">
        <v>96</v>
      </c>
      <c r="Q19" s="311"/>
      <c r="R19" s="311"/>
      <c r="S19" s="312" t="s">
        <v>97</v>
      </c>
      <c r="T19" s="313" t="s">
        <v>98</v>
      </c>
      <c r="U19" s="313" t="s">
        <v>99</v>
      </c>
      <c r="V19" s="313" t="s">
        <v>53</v>
      </c>
    </row>
    <row r="20" spans="1:29">
      <c r="A20" s="314">
        <v>1</v>
      </c>
      <c r="B20" s="315"/>
      <c r="C20" s="315"/>
      <c r="D20" s="316"/>
      <c r="E20" s="316"/>
      <c r="F20" s="316"/>
      <c r="G20" s="317"/>
      <c r="H20" s="317"/>
      <c r="I20" s="318"/>
      <c r="J20" s="319"/>
      <c r="K20" s="320" t="s">
        <v>100</v>
      </c>
      <c r="L20" s="320"/>
      <c r="M20" s="321" t="s">
        <v>49</v>
      </c>
      <c r="N20" s="321"/>
      <c r="O20" s="321"/>
      <c r="P20" s="321" t="s">
        <v>101</v>
      </c>
      <c r="Q20" s="321"/>
      <c r="R20" s="321"/>
      <c r="S20" s="322" t="s">
        <v>102</v>
      </c>
      <c r="T20" s="323"/>
      <c r="U20" s="323"/>
      <c r="V20" s="324"/>
    </row>
    <row r="21" customHeight="1" spans="1:29">
      <c r="A21" s="314"/>
      <c r="B21" s="325"/>
      <c r="C21" s="325"/>
      <c r="D21" s="326"/>
      <c r="E21" s="326"/>
      <c r="F21" s="326"/>
      <c r="G21" s="327"/>
      <c r="H21" s="327"/>
      <c r="I21" s="318"/>
      <c r="J21" s="319"/>
      <c r="K21" s="328"/>
      <c r="L21" s="328"/>
      <c r="M21" s="328"/>
      <c r="N21" s="328"/>
      <c r="O21" s="328"/>
      <c r="P21" s="328"/>
      <c r="Q21" s="328"/>
      <c r="R21" s="328"/>
      <c r="S21" s="329"/>
      <c r="T21" s="323"/>
      <c r="U21" s="323"/>
      <c r="V21" s="330"/>
    </row>
    <row r="22" spans="1:29">
      <c r="A22" s="331"/>
      <c r="B22" s="332"/>
      <c r="C22" s="332"/>
      <c r="D22" s="333"/>
      <c r="E22" s="333"/>
      <c r="F22" s="333"/>
      <c r="G22" s="334"/>
      <c r="H22" s="334"/>
      <c r="I22" s="335"/>
      <c r="J22" s="336"/>
      <c r="K22" s="337"/>
      <c r="L22" s="337"/>
      <c r="M22" s="337"/>
      <c r="N22" s="337"/>
      <c r="O22" s="337"/>
      <c r="P22" s="337"/>
      <c r="Q22" s="337"/>
      <c r="R22" s="337"/>
      <c r="S22" s="338"/>
      <c r="T22" s="323"/>
      <c r="U22" s="323"/>
      <c r="V22" s="330"/>
    </row>
    <row r="23" spans="1:29">
      <c r="A23" s="314">
        <v>2</v>
      </c>
      <c r="B23" s="315"/>
      <c r="C23" s="315"/>
      <c r="D23" s="316"/>
      <c r="E23" s="316"/>
      <c r="F23" s="316"/>
      <c r="G23" s="317"/>
      <c r="H23" s="317"/>
      <c r="I23" s="318"/>
      <c r="J23" s="319"/>
      <c r="K23" s="320" t="s">
        <v>100</v>
      </c>
      <c r="L23" s="320"/>
      <c r="M23" s="321" t="s">
        <v>49</v>
      </c>
      <c r="N23" s="321"/>
      <c r="O23" s="321"/>
      <c r="P23" s="321" t="s">
        <v>101</v>
      </c>
      <c r="Q23" s="321"/>
      <c r="R23" s="321"/>
      <c r="S23" s="322" t="s">
        <v>102</v>
      </c>
      <c r="T23" s="323"/>
      <c r="U23" s="323"/>
      <c r="V23" s="330"/>
    </row>
    <row r="24" spans="1:29">
      <c r="A24" s="314"/>
      <c r="B24" s="325"/>
      <c r="C24" s="325"/>
      <c r="D24" s="326"/>
      <c r="E24" s="326"/>
      <c r="F24" s="326"/>
      <c r="G24" s="327"/>
      <c r="H24" s="327"/>
      <c r="I24" s="318"/>
      <c r="J24" s="319"/>
      <c r="K24" s="328"/>
      <c r="L24" s="328"/>
      <c r="M24" s="328"/>
      <c r="N24" s="328"/>
      <c r="O24" s="328"/>
      <c r="P24" s="328"/>
      <c r="Q24" s="328"/>
      <c r="R24" s="328"/>
      <c r="S24" s="329"/>
      <c r="T24" s="323"/>
      <c r="U24" s="323"/>
      <c r="V24" s="330"/>
    </row>
    <row r="25" spans="1:29">
      <c r="A25" s="331"/>
      <c r="B25" s="332"/>
      <c r="C25" s="332"/>
      <c r="D25" s="333"/>
      <c r="E25" s="333"/>
      <c r="F25" s="333"/>
      <c r="G25" s="334"/>
      <c r="H25" s="334"/>
      <c r="I25" s="335"/>
      <c r="J25" s="336"/>
      <c r="K25" s="337"/>
      <c r="L25" s="337"/>
      <c r="M25" s="337"/>
      <c r="N25" s="337"/>
      <c r="O25" s="337"/>
      <c r="P25" s="337"/>
      <c r="Q25" s="337"/>
      <c r="R25" s="337"/>
      <c r="S25" s="338"/>
      <c r="T25" s="323"/>
      <c r="U25" s="323"/>
      <c r="V25" s="330"/>
    </row>
    <row r="26" spans="1:29">
      <c r="A26" s="314">
        <v>3</v>
      </c>
      <c r="B26" s="315"/>
      <c r="C26" s="315"/>
      <c r="D26" s="316"/>
      <c r="E26" s="316"/>
      <c r="F26" s="316"/>
      <c r="G26" s="317"/>
      <c r="H26" s="317"/>
      <c r="I26" s="318"/>
      <c r="J26" s="319"/>
      <c r="K26" s="320" t="s">
        <v>100</v>
      </c>
      <c r="L26" s="320"/>
      <c r="M26" s="321" t="s">
        <v>49</v>
      </c>
      <c r="N26" s="321"/>
      <c r="O26" s="321"/>
      <c r="P26" s="321" t="s">
        <v>101</v>
      </c>
      <c r="Q26" s="321"/>
      <c r="R26" s="321"/>
      <c r="S26" s="322" t="s">
        <v>102</v>
      </c>
      <c r="T26" s="323"/>
      <c r="U26" s="323"/>
      <c r="V26" s="330"/>
    </row>
    <row r="27" spans="1:29">
      <c r="A27" s="314"/>
      <c r="B27" s="325"/>
      <c r="C27" s="325"/>
      <c r="D27" s="326"/>
      <c r="E27" s="326"/>
      <c r="F27" s="326"/>
      <c r="G27" s="327"/>
      <c r="H27" s="327"/>
      <c r="I27" s="318"/>
      <c r="J27" s="319"/>
      <c r="K27" s="328"/>
      <c r="L27" s="328"/>
      <c r="M27" s="328"/>
      <c r="N27" s="328"/>
      <c r="O27" s="328"/>
      <c r="P27" s="328"/>
      <c r="Q27" s="328"/>
      <c r="R27" s="328"/>
      <c r="S27" s="329"/>
      <c r="T27" s="323"/>
      <c r="U27" s="323"/>
      <c r="V27" s="330"/>
    </row>
    <row r="28" spans="1:29">
      <c r="A28" s="331"/>
      <c r="B28" s="332"/>
      <c r="C28" s="332"/>
      <c r="D28" s="333"/>
      <c r="E28" s="333"/>
      <c r="F28" s="333"/>
      <c r="G28" s="334"/>
      <c r="H28" s="334"/>
      <c r="I28" s="335"/>
      <c r="J28" s="336"/>
      <c r="K28" s="337"/>
      <c r="L28" s="337"/>
      <c r="M28" s="337"/>
      <c r="N28" s="337"/>
      <c r="O28" s="337"/>
      <c r="P28" s="337"/>
      <c r="Q28" s="337"/>
      <c r="R28" s="337"/>
      <c r="S28" s="338"/>
      <c r="T28" s="323"/>
      <c r="U28" s="323"/>
      <c r="V28" s="330"/>
    </row>
    <row r="29" spans="1:29">
      <c r="A29" s="314">
        <v>4</v>
      </c>
      <c r="B29" s="315"/>
      <c r="C29" s="315"/>
      <c r="D29" s="316"/>
      <c r="E29" s="316"/>
      <c r="F29" s="316"/>
      <c r="G29" s="317"/>
      <c r="H29" s="317"/>
      <c r="I29" s="318"/>
      <c r="J29" s="319"/>
      <c r="K29" s="320" t="s">
        <v>100</v>
      </c>
      <c r="L29" s="320"/>
      <c r="M29" s="321" t="s">
        <v>49</v>
      </c>
      <c r="N29" s="321"/>
      <c r="O29" s="321"/>
      <c r="P29" s="321" t="s">
        <v>101</v>
      </c>
      <c r="Q29" s="321"/>
      <c r="R29" s="321"/>
      <c r="S29" s="322" t="s">
        <v>102</v>
      </c>
      <c r="T29" s="323"/>
      <c r="U29" s="323"/>
      <c r="V29" s="330"/>
    </row>
    <row r="30" spans="1:29">
      <c r="A30" s="314"/>
      <c r="B30" s="325"/>
      <c r="C30" s="325"/>
      <c r="D30" s="326"/>
      <c r="E30" s="326"/>
      <c r="F30" s="326"/>
      <c r="G30" s="327"/>
      <c r="H30" s="327"/>
      <c r="I30" s="318"/>
      <c r="J30" s="319"/>
      <c r="K30" s="328"/>
      <c r="L30" s="328"/>
      <c r="M30" s="328"/>
      <c r="N30" s="328"/>
      <c r="O30" s="328"/>
      <c r="P30" s="328"/>
      <c r="Q30" s="328"/>
      <c r="R30" s="328"/>
      <c r="S30" s="329"/>
      <c r="T30" s="323"/>
      <c r="U30" s="323"/>
      <c r="V30" s="330"/>
    </row>
    <row r="31" spans="1:29">
      <c r="A31" s="331"/>
      <c r="B31" s="332"/>
      <c r="C31" s="332"/>
      <c r="D31" s="333"/>
      <c r="E31" s="333"/>
      <c r="F31" s="333"/>
      <c r="G31" s="334"/>
      <c r="H31" s="334"/>
      <c r="I31" s="335"/>
      <c r="J31" s="336"/>
      <c r="K31" s="337"/>
      <c r="L31" s="337"/>
      <c r="M31" s="337"/>
      <c r="N31" s="337"/>
      <c r="O31" s="337"/>
      <c r="P31" s="337"/>
      <c r="Q31" s="337"/>
      <c r="R31" s="337"/>
      <c r="S31" s="338"/>
      <c r="T31" s="323"/>
      <c r="U31" s="323"/>
      <c r="V31" s="330"/>
    </row>
    <row r="32" spans="1:29">
      <c r="A32" s="314">
        <v>5</v>
      </c>
      <c r="B32" s="315"/>
      <c r="C32" s="315"/>
      <c r="D32" s="316"/>
      <c r="E32" s="316"/>
      <c r="F32" s="316"/>
      <c r="G32" s="317"/>
      <c r="H32" s="317"/>
      <c r="I32" s="318"/>
      <c r="J32" s="319"/>
      <c r="K32" s="320" t="s">
        <v>100</v>
      </c>
      <c r="L32" s="320"/>
      <c r="M32" s="321" t="s">
        <v>49</v>
      </c>
      <c r="N32" s="321"/>
      <c r="O32" s="321"/>
      <c r="P32" s="321" t="s">
        <v>101</v>
      </c>
      <c r="Q32" s="321"/>
      <c r="R32" s="321"/>
      <c r="S32" s="322" t="s">
        <v>102</v>
      </c>
      <c r="T32" s="323"/>
      <c r="U32" s="323"/>
      <c r="V32" s="330"/>
    </row>
    <row r="33" spans="1:22">
      <c r="A33" s="314"/>
      <c r="B33" s="325"/>
      <c r="C33" s="325"/>
      <c r="D33" s="326"/>
      <c r="E33" s="326"/>
      <c r="F33" s="326"/>
      <c r="G33" s="327"/>
      <c r="H33" s="327"/>
      <c r="I33" s="318"/>
      <c r="J33" s="319"/>
      <c r="K33" s="328"/>
      <c r="L33" s="328"/>
      <c r="M33" s="328" t="s">
        <v>103</v>
      </c>
      <c r="N33" s="328"/>
      <c r="O33" s="328"/>
      <c r="P33" s="328"/>
      <c r="Q33" s="328"/>
      <c r="R33" s="328"/>
      <c r="S33" s="329"/>
      <c r="T33" s="323"/>
      <c r="U33" s="323"/>
      <c r="V33" s="330"/>
    </row>
    <row r="34" spans="1:22">
      <c r="A34" s="331"/>
      <c r="B34" s="332"/>
      <c r="C34" s="332"/>
      <c r="D34" s="333"/>
      <c r="E34" s="333"/>
      <c r="F34" s="333"/>
      <c r="G34" s="334"/>
      <c r="H34" s="334"/>
      <c r="I34" s="335"/>
      <c r="J34" s="336"/>
      <c r="K34" s="337"/>
      <c r="L34" s="337"/>
      <c r="M34" s="337"/>
      <c r="N34" s="337"/>
      <c r="O34" s="337"/>
      <c r="P34" s="337"/>
      <c r="Q34" s="337"/>
      <c r="R34" s="337"/>
      <c r="S34" s="338"/>
      <c r="T34" s="323"/>
      <c r="U34" s="323"/>
      <c r="V34" s="339"/>
    </row>
    <row r="35" spans="1:22">
      <c r="A35" s="314">
        <v>6</v>
      </c>
      <c r="B35" s="340"/>
      <c r="C35" s="340"/>
      <c r="D35" s="341"/>
      <c r="E35" s="341"/>
      <c r="F35" s="341"/>
      <c r="G35" s="329"/>
      <c r="H35" s="329"/>
      <c r="I35" s="342"/>
      <c r="J35" s="328"/>
      <c r="K35" s="328"/>
      <c r="L35" s="328"/>
      <c r="M35" s="328"/>
      <c r="N35" s="328"/>
      <c r="O35" s="328"/>
      <c r="P35" s="328"/>
      <c r="Q35" s="328"/>
      <c r="R35" s="328"/>
      <c r="S35" s="343"/>
      <c r="T35" s="344"/>
      <c r="U35" s="323"/>
      <c r="V35" s="323"/>
    </row>
    <row r="36" spans="1:22">
      <c r="A36" s="314"/>
      <c r="B36" s="345"/>
      <c r="C36" s="345"/>
      <c r="D36" s="346"/>
      <c r="E36" s="346"/>
      <c r="F36" s="346"/>
      <c r="G36" s="347"/>
      <c r="H36" s="347"/>
      <c r="I36" s="342"/>
      <c r="J36" s="328"/>
      <c r="K36" s="328"/>
      <c r="L36" s="328"/>
      <c r="M36" s="328"/>
      <c r="N36" s="328"/>
      <c r="O36" s="328"/>
      <c r="P36" s="328"/>
      <c r="Q36" s="328"/>
      <c r="R36" s="328"/>
      <c r="S36" s="343"/>
      <c r="T36" s="344"/>
      <c r="U36" s="323"/>
      <c r="V36" s="323"/>
    </row>
    <row r="37" spans="1:22">
      <c r="A37" s="331"/>
      <c r="B37" s="228"/>
      <c r="C37" s="228"/>
      <c r="D37" s="348"/>
      <c r="E37" s="348"/>
      <c r="F37" s="348"/>
      <c r="G37" s="338"/>
      <c r="H37" s="338"/>
      <c r="I37" s="247"/>
      <c r="J37" s="337"/>
      <c r="K37" s="337"/>
      <c r="L37" s="337"/>
      <c r="M37" s="337"/>
      <c r="N37" s="337"/>
      <c r="O37" s="337"/>
      <c r="P37" s="337"/>
      <c r="Q37" s="337"/>
      <c r="R37" s="337"/>
      <c r="S37" s="224"/>
      <c r="T37" s="344"/>
      <c r="U37" s="323"/>
      <c r="V37" s="323"/>
    </row>
    <row r="38" spans="1:22">
      <c r="A38" s="314">
        <v>7</v>
      </c>
      <c r="B38" s="340"/>
      <c r="C38" s="340"/>
      <c r="D38" s="341"/>
      <c r="E38" s="341"/>
      <c r="F38" s="341"/>
      <c r="G38" s="329"/>
      <c r="H38" s="329"/>
      <c r="I38" s="342"/>
      <c r="J38" s="328"/>
      <c r="K38" s="328"/>
      <c r="L38" s="328"/>
      <c r="M38" s="328"/>
      <c r="N38" s="328"/>
      <c r="O38" s="328"/>
      <c r="P38" s="328"/>
      <c r="Q38" s="328"/>
      <c r="R38" s="328"/>
      <c r="S38" s="343"/>
      <c r="T38" s="344"/>
      <c r="U38" s="323"/>
      <c r="V38" s="323"/>
    </row>
    <row r="39" spans="1:22">
      <c r="A39" s="314"/>
      <c r="B39" s="345"/>
      <c r="C39" s="345"/>
      <c r="D39" s="346"/>
      <c r="E39" s="346"/>
      <c r="F39" s="346"/>
      <c r="G39" s="347"/>
      <c r="H39" s="347"/>
      <c r="I39" s="342"/>
      <c r="J39" s="328"/>
      <c r="K39" s="328"/>
      <c r="L39" s="328"/>
      <c r="M39" s="328"/>
      <c r="N39" s="328"/>
      <c r="O39" s="328"/>
      <c r="P39" s="328"/>
      <c r="Q39" s="328"/>
      <c r="R39" s="328"/>
      <c r="S39" s="343"/>
      <c r="T39" s="344"/>
      <c r="U39" s="323"/>
      <c r="V39" s="323"/>
    </row>
    <row r="40" spans="1:22">
      <c r="A40" s="331"/>
      <c r="B40" s="228"/>
      <c r="C40" s="228"/>
      <c r="D40" s="348"/>
      <c r="E40" s="348"/>
      <c r="F40" s="348"/>
      <c r="G40" s="338"/>
      <c r="H40" s="338"/>
      <c r="I40" s="247"/>
      <c r="J40" s="337"/>
      <c r="K40" s="337"/>
      <c r="L40" s="337"/>
      <c r="M40" s="337"/>
      <c r="N40" s="337"/>
      <c r="O40" s="337"/>
      <c r="P40" s="337"/>
      <c r="Q40" s="337"/>
      <c r="R40" s="337"/>
      <c r="S40" s="224"/>
      <c r="T40" s="344"/>
      <c r="U40" s="323"/>
      <c r="V40" s="323"/>
    </row>
    <row r="41" spans="1:22">
      <c r="A41" s="314">
        <v>8</v>
      </c>
      <c r="B41" s="340"/>
      <c r="C41" s="340"/>
      <c r="D41" s="341"/>
      <c r="E41" s="341"/>
      <c r="F41" s="341"/>
      <c r="G41" s="329"/>
      <c r="H41" s="329"/>
      <c r="I41" s="342"/>
      <c r="J41" s="328"/>
      <c r="K41" s="328"/>
      <c r="L41" s="328"/>
      <c r="M41" s="328"/>
      <c r="N41" s="328"/>
      <c r="O41" s="328"/>
      <c r="P41" s="328"/>
      <c r="Q41" s="328"/>
      <c r="R41" s="328"/>
      <c r="S41" s="343"/>
      <c r="T41" s="344"/>
      <c r="U41" s="323"/>
      <c r="V41" s="323"/>
    </row>
    <row r="42" spans="1:22">
      <c r="A42" s="314"/>
      <c r="B42" s="345"/>
      <c r="C42" s="345"/>
      <c r="D42" s="346"/>
      <c r="E42" s="346"/>
      <c r="F42" s="346"/>
      <c r="G42" s="347"/>
      <c r="H42" s="347"/>
      <c r="I42" s="342"/>
      <c r="J42" s="328"/>
      <c r="K42" s="328"/>
      <c r="L42" s="328"/>
      <c r="M42" s="328"/>
      <c r="N42" s="328"/>
      <c r="O42" s="328"/>
      <c r="P42" s="328"/>
      <c r="Q42" s="328"/>
      <c r="R42" s="328"/>
      <c r="S42" s="343"/>
      <c r="T42" s="344"/>
      <c r="U42" s="323"/>
      <c r="V42" s="323"/>
    </row>
    <row r="43" spans="1:22">
      <c r="A43" s="331"/>
      <c r="B43" s="228"/>
      <c r="C43" s="228"/>
      <c r="D43" s="348"/>
      <c r="E43" s="348"/>
      <c r="F43" s="348"/>
      <c r="G43" s="338"/>
      <c r="H43" s="338"/>
      <c r="I43" s="247"/>
      <c r="J43" s="337"/>
      <c r="K43" s="337"/>
      <c r="L43" s="337"/>
      <c r="M43" s="337"/>
      <c r="N43" s="337"/>
      <c r="O43" s="337"/>
      <c r="P43" s="337"/>
      <c r="Q43" s="337"/>
      <c r="R43" s="337"/>
      <c r="S43" s="224"/>
      <c r="T43" s="344"/>
      <c r="U43" s="323"/>
      <c r="V43" s="323"/>
    </row>
    <row r="44" spans="1:22">
      <c r="A44" s="314">
        <v>9</v>
      </c>
      <c r="B44" s="340"/>
      <c r="C44" s="340"/>
      <c r="D44" s="341"/>
      <c r="E44" s="341"/>
      <c r="F44" s="341"/>
      <c r="G44" s="329"/>
      <c r="H44" s="329"/>
      <c r="I44" s="342"/>
      <c r="J44" s="328"/>
      <c r="K44" s="328"/>
      <c r="L44" s="328"/>
      <c r="M44" s="328"/>
      <c r="N44" s="328"/>
      <c r="O44" s="328"/>
      <c r="P44" s="328"/>
      <c r="Q44" s="328"/>
      <c r="R44" s="328"/>
      <c r="S44" s="343"/>
      <c r="T44" s="344"/>
      <c r="U44" s="323"/>
      <c r="V44" s="323"/>
    </row>
    <row r="45" spans="1:22">
      <c r="A45" s="314"/>
      <c r="B45" s="345"/>
      <c r="C45" s="345"/>
      <c r="D45" s="346"/>
      <c r="E45" s="346"/>
      <c r="F45" s="346"/>
      <c r="G45" s="347"/>
      <c r="H45" s="347"/>
      <c r="I45" s="342"/>
      <c r="J45" s="328"/>
      <c r="K45" s="328"/>
      <c r="L45" s="328"/>
      <c r="M45" s="328"/>
      <c r="N45" s="328"/>
      <c r="O45" s="328"/>
      <c r="P45" s="328"/>
      <c r="Q45" s="328"/>
      <c r="R45" s="328"/>
      <c r="S45" s="343"/>
      <c r="T45" s="344"/>
      <c r="U45" s="323"/>
      <c r="V45" s="323"/>
    </row>
    <row r="46" spans="1:22">
      <c r="A46" s="331"/>
      <c r="B46" s="228"/>
      <c r="C46" s="228"/>
      <c r="D46" s="348"/>
      <c r="E46" s="348"/>
      <c r="F46" s="348"/>
      <c r="G46" s="338"/>
      <c r="H46" s="338"/>
      <c r="I46" s="247"/>
      <c r="J46" s="337"/>
      <c r="K46" s="337"/>
      <c r="L46" s="337"/>
      <c r="M46" s="337"/>
      <c r="N46" s="337"/>
      <c r="O46" s="337"/>
      <c r="P46" s="337"/>
      <c r="Q46" s="337"/>
      <c r="R46" s="337"/>
      <c r="S46" s="224"/>
      <c r="T46" s="344"/>
      <c r="U46" s="323"/>
      <c r="V46" s="323"/>
    </row>
    <row r="47" spans="1:22">
      <c r="A47" s="314">
        <v>10</v>
      </c>
      <c r="B47" s="340"/>
      <c r="C47" s="340"/>
      <c r="D47" s="341"/>
      <c r="E47" s="341"/>
      <c r="F47" s="341"/>
      <c r="G47" s="329"/>
      <c r="H47" s="329"/>
      <c r="I47" s="342"/>
      <c r="J47" s="328"/>
      <c r="K47" s="328"/>
      <c r="L47" s="328"/>
      <c r="M47" s="328"/>
      <c r="N47" s="328"/>
      <c r="O47" s="328"/>
      <c r="P47" s="328"/>
      <c r="Q47" s="328"/>
      <c r="R47" s="328"/>
      <c r="S47" s="343"/>
      <c r="T47" s="344"/>
      <c r="U47" s="323"/>
      <c r="V47" s="323"/>
    </row>
    <row r="48" spans="1:22">
      <c r="A48" s="314"/>
      <c r="B48" s="345"/>
      <c r="C48" s="345"/>
      <c r="D48" s="346"/>
      <c r="E48" s="346"/>
      <c r="F48" s="346"/>
      <c r="G48" s="347"/>
      <c r="H48" s="347"/>
      <c r="I48" s="342"/>
      <c r="J48" s="328"/>
      <c r="K48" s="328"/>
      <c r="L48" s="328"/>
      <c r="M48" s="328"/>
      <c r="N48" s="328"/>
      <c r="O48" s="328"/>
      <c r="P48" s="328"/>
      <c r="Q48" s="328"/>
      <c r="R48" s="328"/>
      <c r="S48" s="343"/>
      <c r="T48" s="344"/>
      <c r="U48" s="323"/>
      <c r="V48" s="323"/>
    </row>
    <row r="49" spans="1:22">
      <c r="A49" s="331"/>
      <c r="B49" s="228"/>
      <c r="C49" s="228"/>
      <c r="D49" s="348"/>
      <c r="E49" s="348"/>
      <c r="F49" s="348"/>
      <c r="G49" s="338"/>
      <c r="H49" s="338"/>
      <c r="I49" s="247"/>
      <c r="J49" s="337"/>
      <c r="K49" s="337"/>
      <c r="L49" s="337"/>
      <c r="M49" s="337"/>
      <c r="N49" s="337"/>
      <c r="O49" s="337"/>
      <c r="P49" s="337"/>
      <c r="Q49" s="337"/>
      <c r="R49" s="337"/>
      <c r="S49" s="224"/>
      <c r="T49" s="344"/>
      <c r="U49" s="323"/>
      <c r="V49" s="323"/>
    </row>
    <row r="50" spans="1:22">
      <c r="A50" s="314">
        <v>11</v>
      </c>
      <c r="B50" s="340"/>
      <c r="C50" s="340"/>
      <c r="D50" s="341"/>
      <c r="E50" s="341"/>
      <c r="F50" s="341"/>
      <c r="G50" s="329"/>
      <c r="H50" s="329"/>
      <c r="I50" s="342"/>
      <c r="J50" s="328"/>
      <c r="K50" s="328"/>
      <c r="L50" s="328"/>
      <c r="M50" s="328"/>
      <c r="N50" s="328"/>
      <c r="O50" s="328"/>
      <c r="P50" s="328"/>
      <c r="Q50" s="328"/>
      <c r="R50" s="328"/>
      <c r="S50" s="343"/>
      <c r="T50" s="344"/>
      <c r="U50" s="323"/>
      <c r="V50" s="323"/>
    </row>
    <row r="51" spans="1:22">
      <c r="A51" s="314"/>
      <c r="B51" s="345"/>
      <c r="C51" s="345"/>
      <c r="D51" s="346"/>
      <c r="E51" s="346"/>
      <c r="F51" s="346"/>
      <c r="G51" s="347"/>
      <c r="H51" s="347"/>
      <c r="I51" s="342"/>
      <c r="J51" s="328"/>
      <c r="K51" s="328"/>
      <c r="L51" s="328"/>
      <c r="M51" s="328"/>
      <c r="N51" s="328"/>
      <c r="O51" s="328"/>
      <c r="P51" s="328"/>
      <c r="Q51" s="328"/>
      <c r="R51" s="328"/>
      <c r="S51" s="343"/>
      <c r="T51" s="344"/>
      <c r="U51" s="323"/>
      <c r="V51" s="323"/>
    </row>
    <row r="52" spans="1:22">
      <c r="A52" s="331"/>
      <c r="B52" s="228"/>
      <c r="C52" s="228"/>
      <c r="D52" s="348"/>
      <c r="E52" s="348"/>
      <c r="F52" s="348"/>
      <c r="G52" s="338"/>
      <c r="H52" s="338"/>
      <c r="I52" s="247"/>
      <c r="J52" s="337"/>
      <c r="K52" s="337"/>
      <c r="L52" s="337"/>
      <c r="M52" s="337"/>
      <c r="N52" s="337"/>
      <c r="O52" s="337"/>
      <c r="P52" s="337"/>
      <c r="Q52" s="337"/>
      <c r="R52" s="337"/>
      <c r="S52" s="224"/>
      <c r="T52" s="344"/>
      <c r="U52" s="323"/>
      <c r="V52" s="323"/>
    </row>
    <row r="53" spans="1:22">
      <c r="A53" s="314">
        <v>12</v>
      </c>
      <c r="B53" s="340"/>
      <c r="C53" s="340"/>
      <c r="D53" s="341"/>
      <c r="E53" s="341"/>
      <c r="F53" s="341"/>
      <c r="G53" s="329"/>
      <c r="H53" s="329"/>
      <c r="I53" s="342"/>
      <c r="J53" s="328"/>
      <c r="K53" s="328"/>
      <c r="L53" s="328"/>
      <c r="M53" s="328"/>
      <c r="N53" s="328"/>
      <c r="O53" s="328"/>
      <c r="P53" s="328"/>
      <c r="Q53" s="328"/>
      <c r="R53" s="328"/>
      <c r="S53" s="343"/>
      <c r="T53" s="344"/>
      <c r="U53" s="323"/>
      <c r="V53" s="323"/>
    </row>
    <row r="54" spans="1:22">
      <c r="A54" s="314"/>
      <c r="B54" s="345"/>
      <c r="C54" s="345"/>
      <c r="D54" s="346"/>
      <c r="E54" s="346"/>
      <c r="F54" s="346"/>
      <c r="G54" s="347"/>
      <c r="H54" s="347"/>
      <c r="I54" s="342"/>
      <c r="J54" s="328"/>
      <c r="K54" s="328"/>
      <c r="L54" s="328"/>
      <c r="M54" s="328"/>
      <c r="N54" s="328"/>
      <c r="O54" s="328"/>
      <c r="P54" s="328"/>
      <c r="Q54" s="328"/>
      <c r="R54" s="328"/>
      <c r="S54" s="343"/>
      <c r="T54" s="344"/>
      <c r="U54" s="323"/>
      <c r="V54" s="323"/>
    </row>
    <row r="55" spans="1:22">
      <c r="A55" s="331"/>
      <c r="B55" s="228"/>
      <c r="C55" s="228"/>
      <c r="D55" s="348"/>
      <c r="E55" s="348"/>
      <c r="F55" s="348"/>
      <c r="G55" s="338"/>
      <c r="H55" s="338"/>
      <c r="I55" s="247"/>
      <c r="J55" s="337"/>
      <c r="K55" s="337"/>
      <c r="L55" s="337"/>
      <c r="M55" s="337"/>
      <c r="N55" s="337"/>
      <c r="O55" s="337"/>
      <c r="P55" s="337"/>
      <c r="Q55" s="337"/>
      <c r="R55" s="337"/>
      <c r="S55" s="224"/>
      <c r="T55" s="344"/>
      <c r="U55" s="323"/>
      <c r="V55" s="323"/>
    </row>
    <row r="56" spans="1:22">
      <c r="A56" s="314">
        <v>13</v>
      </c>
      <c r="B56" s="340"/>
      <c r="C56" s="340"/>
      <c r="D56" s="341"/>
      <c r="E56" s="341"/>
      <c r="F56" s="341"/>
      <c r="G56" s="329"/>
      <c r="H56" s="329"/>
      <c r="I56" s="342"/>
      <c r="J56" s="328"/>
      <c r="K56" s="328"/>
      <c r="L56" s="328"/>
      <c r="M56" s="328"/>
      <c r="N56" s="328"/>
      <c r="O56" s="328"/>
      <c r="P56" s="328"/>
      <c r="Q56" s="328"/>
      <c r="R56" s="328"/>
      <c r="S56" s="343"/>
      <c r="T56" s="344"/>
      <c r="U56" s="323"/>
      <c r="V56" s="323"/>
    </row>
    <row r="57" spans="1:22">
      <c r="A57" s="314"/>
      <c r="B57" s="345"/>
      <c r="C57" s="345"/>
      <c r="D57" s="346"/>
      <c r="E57" s="346"/>
      <c r="F57" s="346"/>
      <c r="G57" s="347"/>
      <c r="H57" s="347"/>
      <c r="I57" s="342"/>
      <c r="J57" s="328"/>
      <c r="K57" s="328"/>
      <c r="L57" s="328"/>
      <c r="M57" s="328"/>
      <c r="N57" s="328"/>
      <c r="O57" s="328"/>
      <c r="P57" s="328"/>
      <c r="Q57" s="328"/>
      <c r="R57" s="328"/>
      <c r="S57" s="343"/>
      <c r="T57" s="344"/>
      <c r="U57" s="323"/>
      <c r="V57" s="323"/>
    </row>
    <row r="58" spans="1:22">
      <c r="A58" s="331"/>
      <c r="B58" s="228"/>
      <c r="C58" s="228"/>
      <c r="D58" s="348"/>
      <c r="E58" s="348"/>
      <c r="F58" s="348"/>
      <c r="G58" s="338"/>
      <c r="H58" s="338"/>
      <c r="I58" s="247"/>
      <c r="J58" s="337"/>
      <c r="K58" s="337"/>
      <c r="L58" s="337"/>
      <c r="M58" s="337"/>
      <c r="N58" s="337"/>
      <c r="O58" s="337"/>
      <c r="P58" s="337"/>
      <c r="Q58" s="337"/>
      <c r="R58" s="337"/>
      <c r="S58" s="224"/>
      <c r="T58" s="344"/>
      <c r="U58" s="323"/>
      <c r="V58" s="323"/>
    </row>
    <row r="59" spans="1:22">
      <c r="A59" s="314">
        <v>14</v>
      </c>
      <c r="B59" s="340"/>
      <c r="C59" s="340"/>
      <c r="D59" s="341"/>
      <c r="E59" s="341"/>
      <c r="F59" s="341"/>
      <c r="G59" s="329"/>
      <c r="H59" s="329"/>
      <c r="I59" s="342"/>
      <c r="J59" s="328"/>
      <c r="K59" s="328"/>
      <c r="L59" s="328"/>
      <c r="M59" s="328"/>
      <c r="N59" s="328"/>
      <c r="O59" s="328"/>
      <c r="P59" s="328"/>
      <c r="Q59" s="328"/>
      <c r="R59" s="328"/>
      <c r="S59" s="343"/>
      <c r="T59" s="344"/>
      <c r="U59" s="323"/>
      <c r="V59" s="323"/>
    </row>
    <row r="60" spans="1:22">
      <c r="A60" s="314"/>
      <c r="B60" s="345"/>
      <c r="C60" s="345"/>
      <c r="D60" s="346"/>
      <c r="E60" s="346"/>
      <c r="F60" s="346"/>
      <c r="G60" s="347"/>
      <c r="H60" s="347"/>
      <c r="I60" s="342"/>
      <c r="J60" s="328"/>
      <c r="K60" s="328"/>
      <c r="L60" s="328"/>
      <c r="M60" s="328"/>
      <c r="N60" s="328"/>
      <c r="O60" s="328"/>
      <c r="P60" s="328"/>
      <c r="Q60" s="328"/>
      <c r="R60" s="328"/>
      <c r="S60" s="343"/>
      <c r="T60" s="344"/>
      <c r="U60" s="323"/>
      <c r="V60" s="323"/>
    </row>
    <row r="61" spans="1:22">
      <c r="A61" s="331"/>
      <c r="B61" s="228"/>
      <c r="C61" s="228"/>
      <c r="D61" s="348"/>
      <c r="E61" s="348"/>
      <c r="F61" s="348"/>
      <c r="G61" s="338"/>
      <c r="H61" s="338"/>
      <c r="I61" s="247"/>
      <c r="J61" s="337"/>
      <c r="K61" s="337"/>
      <c r="L61" s="337"/>
      <c r="M61" s="337"/>
      <c r="N61" s="337"/>
      <c r="O61" s="337"/>
      <c r="P61" s="337"/>
      <c r="Q61" s="337"/>
      <c r="R61" s="337"/>
      <c r="S61" s="224"/>
      <c r="T61" s="344"/>
      <c r="U61" s="323"/>
      <c r="V61" s="323"/>
    </row>
    <row r="62" spans="1:22">
      <c r="A62" s="314">
        <v>15</v>
      </c>
      <c r="B62" s="340"/>
      <c r="C62" s="340"/>
      <c r="D62" s="341"/>
      <c r="E62" s="341"/>
      <c r="F62" s="341"/>
      <c r="G62" s="329"/>
      <c r="H62" s="329"/>
      <c r="I62" s="342"/>
      <c r="J62" s="328"/>
      <c r="K62" s="328"/>
      <c r="L62" s="328"/>
      <c r="M62" s="328"/>
      <c r="N62" s="328"/>
      <c r="O62" s="328"/>
      <c r="P62" s="328"/>
      <c r="Q62" s="328"/>
      <c r="R62" s="328"/>
      <c r="S62" s="343"/>
      <c r="T62" s="344"/>
      <c r="U62" s="323"/>
      <c r="V62" s="323"/>
    </row>
    <row r="63" spans="1:22">
      <c r="A63" s="314"/>
      <c r="B63" s="345"/>
      <c r="C63" s="345"/>
      <c r="D63" s="346"/>
      <c r="E63" s="346"/>
      <c r="F63" s="346"/>
      <c r="G63" s="347"/>
      <c r="H63" s="347"/>
      <c r="I63" s="342"/>
      <c r="J63" s="328"/>
      <c r="K63" s="328"/>
      <c r="L63" s="328"/>
      <c r="M63" s="328"/>
      <c r="N63" s="328"/>
      <c r="O63" s="328"/>
      <c r="P63" s="328"/>
      <c r="Q63" s="328"/>
      <c r="R63" s="328"/>
      <c r="S63" s="343"/>
      <c r="T63" s="344"/>
      <c r="U63" s="323"/>
      <c r="V63" s="323"/>
    </row>
    <row r="64" spans="1:22">
      <c r="A64" s="331"/>
      <c r="B64" s="228"/>
      <c r="C64" s="228"/>
      <c r="D64" s="348"/>
      <c r="E64" s="348"/>
      <c r="F64" s="348"/>
      <c r="G64" s="338"/>
      <c r="H64" s="338"/>
      <c r="I64" s="247"/>
      <c r="J64" s="337"/>
      <c r="K64" s="337"/>
      <c r="L64" s="337"/>
      <c r="M64" s="337"/>
      <c r="N64" s="337"/>
      <c r="O64" s="337"/>
      <c r="P64" s="337"/>
      <c r="Q64" s="337"/>
      <c r="R64" s="337"/>
      <c r="S64" s="224"/>
      <c r="T64" s="344"/>
      <c r="U64" s="323"/>
      <c r="V64" s="323"/>
    </row>
    <row r="65" spans="1:44">
      <c r="A65" s="314">
        <v>16</v>
      </c>
      <c r="B65" s="340"/>
      <c r="C65" s="340"/>
      <c r="D65" s="341"/>
      <c r="E65" s="341"/>
      <c r="F65" s="341"/>
      <c r="G65" s="329"/>
      <c r="H65" s="329"/>
      <c r="I65" s="342"/>
      <c r="J65" s="328"/>
      <c r="K65" s="328"/>
      <c r="L65" s="328"/>
      <c r="M65" s="328"/>
      <c r="N65" s="328"/>
      <c r="O65" s="328"/>
      <c r="P65" s="328"/>
      <c r="Q65" s="328"/>
      <c r="R65" s="328"/>
      <c r="S65" s="343"/>
      <c r="T65" s="344"/>
      <c r="U65" s="323"/>
      <c r="V65" s="323"/>
    </row>
    <row r="66" spans="1:44">
      <c r="A66" s="314"/>
      <c r="B66" s="345"/>
      <c r="C66" s="345"/>
      <c r="D66" s="346"/>
      <c r="E66" s="346"/>
      <c r="F66" s="346"/>
      <c r="G66" s="347"/>
      <c r="H66" s="347"/>
      <c r="I66" s="342"/>
      <c r="J66" s="328"/>
      <c r="K66" s="328"/>
      <c r="L66" s="328"/>
      <c r="M66" s="328"/>
      <c r="N66" s="328"/>
      <c r="O66" s="328"/>
      <c r="P66" s="328"/>
      <c r="Q66" s="328"/>
      <c r="R66" s="328"/>
      <c r="S66" s="343"/>
      <c r="T66" s="344"/>
      <c r="U66" s="323"/>
      <c r="V66" s="323"/>
      <c r="AR66" s="349"/>
    </row>
    <row r="67" spans="1:44">
      <c r="A67" s="331"/>
      <c r="B67" s="228"/>
      <c r="C67" s="228"/>
      <c r="D67" s="348"/>
      <c r="E67" s="348"/>
      <c r="F67" s="348"/>
      <c r="G67" s="338"/>
      <c r="H67" s="338"/>
      <c r="I67" s="247"/>
      <c r="J67" s="337"/>
      <c r="K67" s="337"/>
      <c r="L67" s="337"/>
      <c r="M67" s="337"/>
      <c r="N67" s="337"/>
      <c r="O67" s="337"/>
      <c r="P67" s="337"/>
      <c r="Q67" s="337"/>
      <c r="R67" s="337"/>
      <c r="S67" s="224"/>
      <c r="T67" s="344"/>
      <c r="U67" s="323"/>
      <c r="V67" s="323"/>
    </row>
    <row r="68" spans="1:44">
      <c r="A68" s="314">
        <v>17</v>
      </c>
      <c r="B68" s="340"/>
      <c r="C68" s="340"/>
      <c r="D68" s="341"/>
      <c r="E68" s="341"/>
      <c r="F68" s="341"/>
      <c r="G68" s="329"/>
      <c r="H68" s="329"/>
      <c r="I68" s="342"/>
      <c r="J68" s="328"/>
      <c r="K68" s="328"/>
      <c r="L68" s="328"/>
      <c r="M68" s="328"/>
      <c r="N68" s="328"/>
      <c r="O68" s="328"/>
      <c r="P68" s="328"/>
      <c r="Q68" s="328"/>
      <c r="R68" s="328"/>
      <c r="S68" s="343"/>
      <c r="T68" s="344"/>
      <c r="U68" s="323"/>
      <c r="V68" s="323"/>
    </row>
    <row r="69" spans="1:44">
      <c r="A69" s="314"/>
      <c r="B69" s="345"/>
      <c r="C69" s="345"/>
      <c r="D69" s="346"/>
      <c r="E69" s="346"/>
      <c r="F69" s="346"/>
      <c r="G69" s="347"/>
      <c r="H69" s="347"/>
      <c r="I69" s="342"/>
      <c r="J69" s="328"/>
      <c r="K69" s="328"/>
      <c r="L69" s="328"/>
      <c r="M69" s="328"/>
      <c r="N69" s="328"/>
      <c r="O69" s="328"/>
      <c r="P69" s="328"/>
      <c r="Q69" s="328"/>
      <c r="R69" s="328"/>
      <c r="S69" s="343"/>
      <c r="T69" s="344"/>
      <c r="U69" s="323"/>
      <c r="V69" s="323"/>
    </row>
    <row r="70" spans="1:44">
      <c r="A70" s="331"/>
      <c r="B70" s="228"/>
      <c r="C70" s="228"/>
      <c r="D70" s="348"/>
      <c r="E70" s="348"/>
      <c r="F70" s="348"/>
      <c r="G70" s="338"/>
      <c r="H70" s="338"/>
      <c r="I70" s="247"/>
      <c r="J70" s="337"/>
      <c r="K70" s="337"/>
      <c r="L70" s="337"/>
      <c r="M70" s="337"/>
      <c r="N70" s="337"/>
      <c r="O70" s="337"/>
      <c r="P70" s="337"/>
      <c r="Q70" s="337"/>
      <c r="R70" s="337"/>
      <c r="S70" s="224"/>
      <c r="T70" s="344"/>
      <c r="U70" s="323"/>
      <c r="V70" s="323"/>
    </row>
    <row r="71" spans="1:44">
      <c r="A71" s="314">
        <v>18</v>
      </c>
      <c r="B71" s="340"/>
      <c r="C71" s="340"/>
      <c r="D71" s="341"/>
      <c r="E71" s="341"/>
      <c r="F71" s="341"/>
      <c r="G71" s="329"/>
      <c r="H71" s="329"/>
      <c r="I71" s="342"/>
      <c r="J71" s="328"/>
      <c r="K71" s="328"/>
      <c r="L71" s="328"/>
      <c r="M71" s="328"/>
      <c r="N71" s="328"/>
      <c r="O71" s="328"/>
      <c r="P71" s="328"/>
      <c r="Q71" s="328"/>
      <c r="R71" s="328"/>
      <c r="S71" s="343"/>
      <c r="T71" s="344"/>
      <c r="U71" s="323"/>
      <c r="V71" s="323"/>
    </row>
    <row r="72" spans="1:44">
      <c r="A72" s="314"/>
      <c r="B72" s="345"/>
      <c r="C72" s="345"/>
      <c r="D72" s="346"/>
      <c r="E72" s="346"/>
      <c r="F72" s="346"/>
      <c r="G72" s="347"/>
      <c r="H72" s="347"/>
      <c r="I72" s="342"/>
      <c r="J72" s="328"/>
      <c r="K72" s="328"/>
      <c r="L72" s="328"/>
      <c r="M72" s="328"/>
      <c r="N72" s="328"/>
      <c r="O72" s="328"/>
      <c r="P72" s="328"/>
      <c r="Q72" s="328"/>
      <c r="R72" s="328"/>
      <c r="S72" s="343"/>
      <c r="T72" s="344"/>
      <c r="U72" s="323"/>
      <c r="V72" s="323"/>
    </row>
    <row r="73" spans="1:44">
      <c r="A73" s="331"/>
      <c r="B73" s="228"/>
      <c r="C73" s="228"/>
      <c r="D73" s="348"/>
      <c r="E73" s="348"/>
      <c r="F73" s="348"/>
      <c r="G73" s="338"/>
      <c r="H73" s="338"/>
      <c r="I73" s="247"/>
      <c r="J73" s="337"/>
      <c r="K73" s="337"/>
      <c r="L73" s="337"/>
      <c r="M73" s="337"/>
      <c r="N73" s="337"/>
      <c r="O73" s="337"/>
      <c r="P73" s="337"/>
      <c r="Q73" s="337"/>
      <c r="R73" s="337"/>
      <c r="S73" s="224"/>
      <c r="T73" s="344"/>
      <c r="U73" s="323"/>
      <c r="V73" s="323"/>
    </row>
    <row r="74" spans="1:44">
      <c r="A74" s="314">
        <v>19</v>
      </c>
      <c r="B74" s="340"/>
      <c r="C74" s="340"/>
      <c r="D74" s="341"/>
      <c r="E74" s="341"/>
      <c r="F74" s="341"/>
      <c r="G74" s="329"/>
      <c r="H74" s="329"/>
      <c r="I74" s="342"/>
      <c r="J74" s="328"/>
      <c r="K74" s="328"/>
      <c r="L74" s="328"/>
      <c r="M74" s="328"/>
      <c r="N74" s="328"/>
      <c r="O74" s="328"/>
      <c r="P74" s="328"/>
      <c r="Q74" s="328"/>
      <c r="R74" s="328"/>
      <c r="S74" s="343"/>
      <c r="T74" s="344"/>
      <c r="U74" s="323"/>
      <c r="V74" s="323"/>
    </row>
    <row r="75" spans="1:44">
      <c r="A75" s="314"/>
      <c r="B75" s="345"/>
      <c r="C75" s="345"/>
      <c r="D75" s="346"/>
      <c r="E75" s="346"/>
      <c r="F75" s="346"/>
      <c r="G75" s="347"/>
      <c r="H75" s="347"/>
      <c r="I75" s="342"/>
      <c r="J75" s="328"/>
      <c r="K75" s="328"/>
      <c r="L75" s="328"/>
      <c r="M75" s="328"/>
      <c r="N75" s="328"/>
      <c r="O75" s="328"/>
      <c r="P75" s="328"/>
      <c r="Q75" s="328"/>
      <c r="R75" s="328"/>
      <c r="S75" s="343"/>
      <c r="T75" s="344"/>
      <c r="U75" s="323"/>
      <c r="V75" s="323"/>
    </row>
    <row r="76" spans="1:44">
      <c r="A76" s="331"/>
      <c r="B76" s="228"/>
      <c r="C76" s="228"/>
      <c r="D76" s="348"/>
      <c r="E76" s="348"/>
      <c r="F76" s="348"/>
      <c r="G76" s="338"/>
      <c r="H76" s="338"/>
      <c r="I76" s="247"/>
      <c r="J76" s="337"/>
      <c r="K76" s="337"/>
      <c r="L76" s="337"/>
      <c r="M76" s="337"/>
      <c r="N76" s="337"/>
      <c r="O76" s="337"/>
      <c r="P76" s="337"/>
      <c r="Q76" s="337"/>
      <c r="R76" s="337"/>
      <c r="S76" s="224"/>
      <c r="T76" s="344"/>
      <c r="U76" s="323"/>
      <c r="V76" s="323"/>
    </row>
    <row r="77" spans="1:44">
      <c r="A77" s="314">
        <v>20</v>
      </c>
      <c r="B77" s="340"/>
      <c r="C77" s="340"/>
      <c r="D77" s="341"/>
      <c r="E77" s="341"/>
      <c r="F77" s="341"/>
      <c r="G77" s="329"/>
      <c r="H77" s="329"/>
      <c r="I77" s="342"/>
      <c r="J77" s="328"/>
      <c r="K77" s="328"/>
      <c r="L77" s="328"/>
      <c r="M77" s="328"/>
      <c r="N77" s="328"/>
      <c r="O77" s="328"/>
      <c r="P77" s="328"/>
      <c r="Q77" s="328"/>
      <c r="R77" s="328"/>
      <c r="S77" s="343"/>
      <c r="T77" s="344"/>
      <c r="U77" s="323"/>
      <c r="V77" s="323"/>
    </row>
    <row r="78" spans="1:44">
      <c r="A78" s="314"/>
      <c r="B78" s="345"/>
      <c r="C78" s="345"/>
      <c r="D78" s="346"/>
      <c r="E78" s="346"/>
      <c r="F78" s="346"/>
      <c r="G78" s="347"/>
      <c r="H78" s="347"/>
      <c r="I78" s="342"/>
      <c r="J78" s="328"/>
      <c r="K78" s="328"/>
      <c r="L78" s="328"/>
      <c r="M78" s="328"/>
      <c r="N78" s="328"/>
      <c r="O78" s="328"/>
      <c r="P78" s="328"/>
      <c r="Q78" s="328"/>
      <c r="R78" s="328"/>
      <c r="S78" s="343"/>
      <c r="T78" s="344"/>
      <c r="U78" s="323"/>
      <c r="V78" s="323"/>
    </row>
    <row r="79" spans="1:44">
      <c r="A79" s="331"/>
      <c r="B79" s="228"/>
      <c r="C79" s="228"/>
      <c r="D79" s="348"/>
      <c r="E79" s="348"/>
      <c r="F79" s="348"/>
      <c r="G79" s="338"/>
      <c r="H79" s="338"/>
      <c r="I79" s="247"/>
      <c r="J79" s="337"/>
      <c r="K79" s="337"/>
      <c r="L79" s="337"/>
      <c r="M79" s="337"/>
      <c r="N79" s="337"/>
      <c r="O79" s="337"/>
      <c r="P79" s="337"/>
      <c r="Q79" s="337"/>
      <c r="R79" s="337"/>
      <c r="S79" s="224"/>
      <c r="T79" s="344"/>
      <c r="U79" s="323"/>
      <c r="V79" s="323"/>
    </row>
    <row r="80" spans="1:44">
      <c r="A80" s="314">
        <v>21</v>
      </c>
      <c r="B80" s="340"/>
      <c r="C80" s="340"/>
      <c r="D80" s="341"/>
      <c r="E80" s="341"/>
      <c r="F80" s="341"/>
      <c r="G80" s="329"/>
      <c r="H80" s="329"/>
      <c r="I80" s="342"/>
      <c r="J80" s="328"/>
      <c r="K80" s="328"/>
      <c r="L80" s="328"/>
      <c r="M80" s="328"/>
      <c r="N80" s="328"/>
      <c r="O80" s="328"/>
      <c r="P80" s="328"/>
      <c r="Q80" s="328"/>
      <c r="R80" s="328"/>
      <c r="S80" s="343"/>
      <c r="T80" s="344"/>
      <c r="U80" s="323"/>
      <c r="V80" s="323"/>
    </row>
    <row r="81" spans="1:22">
      <c r="A81" s="314"/>
      <c r="B81" s="345"/>
      <c r="C81" s="345"/>
      <c r="D81" s="346"/>
      <c r="E81" s="346"/>
      <c r="F81" s="346"/>
      <c r="G81" s="347"/>
      <c r="H81" s="347"/>
      <c r="I81" s="342"/>
      <c r="J81" s="328"/>
      <c r="K81" s="328"/>
      <c r="L81" s="328"/>
      <c r="M81" s="328"/>
      <c r="N81" s="328"/>
      <c r="O81" s="328"/>
      <c r="P81" s="328"/>
      <c r="Q81" s="328"/>
      <c r="R81" s="328"/>
      <c r="S81" s="343"/>
      <c r="T81" s="344"/>
      <c r="U81" s="323"/>
      <c r="V81" s="323"/>
    </row>
    <row r="82" spans="1:22">
      <c r="A82" s="331"/>
      <c r="B82" s="228"/>
      <c r="C82" s="228"/>
      <c r="D82" s="348"/>
      <c r="E82" s="348"/>
      <c r="F82" s="348"/>
      <c r="G82" s="338"/>
      <c r="H82" s="338"/>
      <c r="I82" s="247"/>
      <c r="J82" s="337"/>
      <c r="K82" s="337"/>
      <c r="L82" s="337"/>
      <c r="M82" s="337"/>
      <c r="N82" s="337"/>
      <c r="O82" s="337"/>
      <c r="P82" s="337"/>
      <c r="Q82" s="337"/>
      <c r="R82" s="337"/>
      <c r="S82" s="224"/>
      <c r="T82" s="344"/>
      <c r="U82" s="323"/>
      <c r="V82" s="323"/>
    </row>
    <row r="83" spans="1:22">
      <c r="A83" s="314">
        <v>22</v>
      </c>
      <c r="B83" s="340"/>
      <c r="C83" s="340"/>
      <c r="D83" s="341"/>
      <c r="E83" s="341"/>
      <c r="F83" s="341"/>
      <c r="G83" s="329"/>
      <c r="H83" s="329"/>
      <c r="I83" s="342"/>
      <c r="J83" s="328"/>
      <c r="K83" s="328"/>
      <c r="L83" s="328"/>
      <c r="M83" s="328"/>
      <c r="N83" s="328"/>
      <c r="O83" s="328"/>
      <c r="P83" s="328"/>
      <c r="Q83" s="328"/>
      <c r="R83" s="328"/>
      <c r="S83" s="343"/>
      <c r="T83" s="344"/>
      <c r="U83" s="323"/>
      <c r="V83" s="323"/>
    </row>
    <row r="84" spans="1:22">
      <c r="A84" s="314"/>
      <c r="B84" s="345"/>
      <c r="C84" s="345"/>
      <c r="D84" s="346"/>
      <c r="E84" s="346"/>
      <c r="F84" s="346"/>
      <c r="G84" s="347"/>
      <c r="H84" s="347"/>
      <c r="I84" s="342"/>
      <c r="J84" s="328"/>
      <c r="K84" s="328"/>
      <c r="L84" s="328"/>
      <c r="M84" s="328"/>
      <c r="N84" s="328"/>
      <c r="O84" s="328"/>
      <c r="P84" s="328"/>
      <c r="Q84" s="328"/>
      <c r="R84" s="328"/>
      <c r="S84" s="343"/>
      <c r="T84" s="344"/>
      <c r="U84" s="323"/>
      <c r="V84" s="323"/>
    </row>
    <row r="85" spans="1:22">
      <c r="A85" s="331"/>
      <c r="B85" s="228"/>
      <c r="C85" s="228"/>
      <c r="D85" s="348"/>
      <c r="E85" s="348"/>
      <c r="F85" s="348"/>
      <c r="G85" s="338"/>
      <c r="H85" s="338"/>
      <c r="I85" s="247"/>
      <c r="J85" s="337"/>
      <c r="K85" s="337"/>
      <c r="L85" s="337"/>
      <c r="M85" s="337"/>
      <c r="N85" s="337"/>
      <c r="O85" s="337"/>
      <c r="P85" s="337"/>
      <c r="Q85" s="337"/>
      <c r="R85" s="337"/>
      <c r="S85" s="224"/>
      <c r="T85" s="344"/>
      <c r="U85" s="323"/>
      <c r="V85" s="323"/>
    </row>
    <row r="86" spans="1:22">
      <c r="A86" s="314">
        <v>23</v>
      </c>
      <c r="B86" s="340"/>
      <c r="C86" s="340"/>
      <c r="D86" s="341"/>
      <c r="E86" s="341"/>
      <c r="F86" s="341"/>
      <c r="G86" s="329"/>
      <c r="H86" s="329"/>
      <c r="I86" s="342"/>
      <c r="J86" s="328"/>
      <c r="K86" s="328"/>
      <c r="L86" s="328"/>
      <c r="M86" s="328"/>
      <c r="N86" s="328"/>
      <c r="O86" s="328"/>
      <c r="P86" s="328"/>
      <c r="Q86" s="328"/>
      <c r="R86" s="328"/>
      <c r="S86" s="343"/>
      <c r="T86" s="344"/>
      <c r="U86" s="323"/>
      <c r="V86" s="323"/>
    </row>
    <row r="87" spans="1:22">
      <c r="A87" s="314"/>
      <c r="B87" s="345"/>
      <c r="C87" s="345"/>
      <c r="D87" s="346"/>
      <c r="E87" s="346"/>
      <c r="F87" s="346"/>
      <c r="G87" s="347"/>
      <c r="H87" s="347"/>
      <c r="I87" s="342"/>
      <c r="J87" s="328"/>
      <c r="K87" s="328"/>
      <c r="L87" s="328"/>
      <c r="M87" s="328"/>
      <c r="N87" s="328"/>
      <c r="O87" s="328"/>
      <c r="P87" s="328"/>
      <c r="Q87" s="328"/>
      <c r="R87" s="328"/>
      <c r="S87" s="343"/>
      <c r="T87" s="344"/>
      <c r="U87" s="323"/>
      <c r="V87" s="323"/>
    </row>
    <row r="88" spans="1:22">
      <c r="A88" s="331"/>
      <c r="B88" s="228"/>
      <c r="C88" s="228"/>
      <c r="D88" s="348"/>
      <c r="E88" s="348"/>
      <c r="F88" s="348"/>
      <c r="G88" s="338"/>
      <c r="H88" s="338"/>
      <c r="I88" s="247"/>
      <c r="J88" s="337"/>
      <c r="K88" s="337"/>
      <c r="L88" s="337"/>
      <c r="M88" s="337"/>
      <c r="N88" s="337"/>
      <c r="O88" s="337"/>
      <c r="P88" s="337"/>
      <c r="Q88" s="337"/>
      <c r="R88" s="337"/>
      <c r="S88" s="224"/>
      <c r="T88" s="344"/>
      <c r="U88" s="323"/>
      <c r="V88" s="323"/>
    </row>
    <row r="89" spans="1:22">
      <c r="A89" s="314">
        <v>24</v>
      </c>
      <c r="B89" s="340"/>
      <c r="C89" s="340"/>
      <c r="D89" s="341"/>
      <c r="E89" s="341"/>
      <c r="F89" s="341"/>
      <c r="G89" s="329"/>
      <c r="H89" s="329"/>
      <c r="I89" s="342"/>
      <c r="J89" s="328"/>
      <c r="K89" s="328"/>
      <c r="L89" s="328"/>
      <c r="M89" s="328"/>
      <c r="N89" s="328"/>
      <c r="O89" s="328"/>
      <c r="P89" s="328"/>
      <c r="Q89" s="328"/>
      <c r="R89" s="328"/>
      <c r="S89" s="343"/>
      <c r="T89" s="344"/>
      <c r="U89" s="323"/>
      <c r="V89" s="323"/>
    </row>
    <row r="90" spans="1:22">
      <c r="A90" s="314"/>
      <c r="B90" s="345"/>
      <c r="C90" s="345"/>
      <c r="D90" s="346"/>
      <c r="E90" s="346"/>
      <c r="F90" s="346"/>
      <c r="G90" s="347"/>
      <c r="H90" s="347"/>
      <c r="I90" s="342"/>
      <c r="J90" s="328"/>
      <c r="K90" s="328"/>
      <c r="L90" s="328"/>
      <c r="M90" s="328"/>
      <c r="N90" s="328"/>
      <c r="O90" s="328"/>
      <c r="P90" s="328"/>
      <c r="Q90" s="328"/>
      <c r="R90" s="328"/>
      <c r="S90" s="343"/>
      <c r="T90" s="344"/>
      <c r="U90" s="323"/>
      <c r="V90" s="323"/>
    </row>
    <row r="91" spans="1:22">
      <c r="A91" s="331"/>
      <c r="B91" s="228"/>
      <c r="C91" s="228"/>
      <c r="D91" s="348"/>
      <c r="E91" s="348"/>
      <c r="F91" s="348"/>
      <c r="G91" s="338"/>
      <c r="H91" s="338"/>
      <c r="I91" s="247"/>
      <c r="J91" s="337"/>
      <c r="K91" s="337"/>
      <c r="L91" s="337"/>
      <c r="M91" s="337"/>
      <c r="N91" s="337"/>
      <c r="O91" s="337"/>
      <c r="P91" s="337"/>
      <c r="Q91" s="337"/>
      <c r="R91" s="337"/>
      <c r="S91" s="224"/>
      <c r="T91" s="344"/>
      <c r="U91" s="323"/>
      <c r="V91" s="323"/>
    </row>
    <row r="92" spans="1:22">
      <c r="A92" s="314">
        <v>25</v>
      </c>
      <c r="B92" s="340"/>
      <c r="C92" s="340"/>
      <c r="D92" s="341"/>
      <c r="E92" s="341"/>
      <c r="F92" s="341"/>
      <c r="G92" s="329"/>
      <c r="H92" s="329"/>
      <c r="I92" s="342"/>
      <c r="J92" s="328"/>
      <c r="K92" s="328"/>
      <c r="L92" s="328"/>
      <c r="M92" s="328"/>
      <c r="N92" s="328"/>
      <c r="O92" s="328"/>
      <c r="P92" s="328"/>
      <c r="Q92" s="328"/>
      <c r="R92" s="328"/>
      <c r="S92" s="343"/>
      <c r="T92" s="344"/>
      <c r="U92" s="323"/>
      <c r="V92" s="323"/>
    </row>
    <row r="93" spans="1:22">
      <c r="A93" s="314"/>
      <c r="B93" s="345"/>
      <c r="C93" s="345"/>
      <c r="D93" s="346"/>
      <c r="E93" s="346"/>
      <c r="F93" s="346"/>
      <c r="G93" s="347"/>
      <c r="H93" s="347"/>
      <c r="I93" s="342"/>
      <c r="J93" s="328"/>
      <c r="K93" s="328"/>
      <c r="L93" s="328"/>
      <c r="M93" s="328"/>
      <c r="N93" s="328"/>
      <c r="O93" s="328"/>
      <c r="P93" s="328"/>
      <c r="Q93" s="328"/>
      <c r="R93" s="328"/>
      <c r="S93" s="343"/>
      <c r="T93" s="344"/>
      <c r="U93" s="323"/>
      <c r="V93" s="323"/>
    </row>
    <row r="94" spans="1:22">
      <c r="A94" s="331"/>
      <c r="B94" s="228"/>
      <c r="C94" s="228"/>
      <c r="D94" s="348"/>
      <c r="E94" s="348"/>
      <c r="F94" s="348"/>
      <c r="G94" s="338"/>
      <c r="H94" s="338"/>
      <c r="I94" s="247"/>
      <c r="J94" s="337"/>
      <c r="K94" s="337"/>
      <c r="L94" s="337"/>
      <c r="M94" s="337"/>
      <c r="N94" s="337"/>
      <c r="O94" s="337"/>
      <c r="P94" s="337"/>
      <c r="Q94" s="337"/>
      <c r="R94" s="337"/>
      <c r="S94" s="224"/>
      <c r="T94" s="344"/>
      <c r="U94" s="323"/>
      <c r="V94" s="323"/>
    </row>
    <row r="95" spans="1:22">
      <c r="A95" s="314">
        <v>26</v>
      </c>
      <c r="B95" s="340"/>
      <c r="C95" s="340"/>
      <c r="D95" s="341"/>
      <c r="E95" s="341"/>
      <c r="F95" s="341"/>
      <c r="G95" s="329"/>
      <c r="H95" s="329"/>
      <c r="I95" s="342"/>
      <c r="J95" s="328"/>
      <c r="K95" s="328"/>
      <c r="L95" s="328"/>
      <c r="M95" s="328"/>
      <c r="N95" s="328"/>
      <c r="O95" s="328"/>
      <c r="P95" s="328"/>
      <c r="Q95" s="328"/>
      <c r="R95" s="328"/>
      <c r="S95" s="343"/>
      <c r="T95" s="344"/>
      <c r="U95" s="323"/>
      <c r="V95" s="323"/>
    </row>
    <row r="96" spans="1:22">
      <c r="A96" s="314"/>
      <c r="B96" s="345"/>
      <c r="C96" s="345"/>
      <c r="D96" s="346"/>
      <c r="E96" s="346"/>
      <c r="F96" s="346"/>
      <c r="G96" s="347"/>
      <c r="H96" s="347"/>
      <c r="I96" s="342"/>
      <c r="J96" s="328"/>
      <c r="K96" s="328"/>
      <c r="L96" s="328"/>
      <c r="M96" s="328"/>
      <c r="N96" s="328"/>
      <c r="O96" s="328"/>
      <c r="P96" s="328"/>
      <c r="Q96" s="328"/>
      <c r="R96" s="328"/>
      <c r="S96" s="343"/>
      <c r="T96" s="344"/>
      <c r="U96" s="323"/>
      <c r="V96" s="323"/>
    </row>
    <row r="97" spans="1:22">
      <c r="A97" s="331"/>
      <c r="B97" s="228"/>
      <c r="C97" s="228"/>
      <c r="D97" s="348"/>
      <c r="E97" s="348"/>
      <c r="F97" s="348"/>
      <c r="G97" s="338"/>
      <c r="H97" s="338"/>
      <c r="I97" s="247"/>
      <c r="J97" s="337"/>
      <c r="K97" s="337"/>
      <c r="L97" s="337"/>
      <c r="M97" s="337"/>
      <c r="N97" s="337"/>
      <c r="O97" s="337"/>
      <c r="P97" s="337"/>
      <c r="Q97" s="337"/>
      <c r="R97" s="337"/>
      <c r="S97" s="224"/>
      <c r="T97" s="344"/>
      <c r="U97" s="323"/>
      <c r="V97" s="323"/>
    </row>
    <row r="98" spans="1:22">
      <c r="A98" s="314">
        <v>27</v>
      </c>
      <c r="B98" s="340"/>
      <c r="C98" s="340"/>
      <c r="D98" s="341"/>
      <c r="E98" s="341"/>
      <c r="F98" s="341"/>
      <c r="G98" s="329"/>
      <c r="H98" s="329"/>
      <c r="I98" s="342"/>
      <c r="J98" s="328"/>
      <c r="K98" s="328"/>
      <c r="L98" s="328"/>
      <c r="M98" s="328"/>
      <c r="N98" s="328"/>
      <c r="O98" s="328"/>
      <c r="P98" s="328"/>
      <c r="Q98" s="328"/>
      <c r="R98" s="328"/>
      <c r="S98" s="343"/>
      <c r="T98" s="344"/>
      <c r="U98" s="323"/>
      <c r="V98" s="323"/>
    </row>
    <row r="99" spans="1:22">
      <c r="A99" s="314"/>
      <c r="B99" s="345"/>
      <c r="C99" s="345"/>
      <c r="D99" s="346"/>
      <c r="E99" s="346"/>
      <c r="F99" s="346"/>
      <c r="G99" s="347"/>
      <c r="H99" s="347"/>
      <c r="I99" s="342"/>
      <c r="J99" s="328"/>
      <c r="K99" s="328"/>
      <c r="L99" s="328"/>
      <c r="M99" s="328"/>
      <c r="N99" s="328"/>
      <c r="O99" s="328"/>
      <c r="P99" s="328"/>
      <c r="Q99" s="328"/>
      <c r="R99" s="328"/>
      <c r="S99" s="343"/>
      <c r="T99" s="344"/>
      <c r="U99" s="323"/>
      <c r="V99" s="323"/>
    </row>
    <row r="100" spans="1:22">
      <c r="A100" s="331"/>
      <c r="B100" s="228"/>
      <c r="C100" s="228"/>
      <c r="D100" s="348"/>
      <c r="E100" s="348"/>
      <c r="F100" s="348"/>
      <c r="G100" s="338"/>
      <c r="H100" s="338"/>
      <c r="I100" s="247"/>
      <c r="J100" s="337"/>
      <c r="K100" s="337"/>
      <c r="L100" s="337"/>
      <c r="M100" s="337"/>
      <c r="N100" s="337"/>
      <c r="O100" s="337"/>
      <c r="P100" s="337"/>
      <c r="Q100" s="337"/>
      <c r="R100" s="337"/>
      <c r="S100" s="224"/>
      <c r="T100" s="344"/>
      <c r="U100" s="323"/>
      <c r="V100" s="323"/>
    </row>
    <row r="101" spans="1:22">
      <c r="A101" s="314">
        <v>28</v>
      </c>
      <c r="B101" s="340"/>
      <c r="C101" s="340"/>
      <c r="D101" s="341"/>
      <c r="E101" s="341"/>
      <c r="F101" s="341"/>
      <c r="G101" s="329"/>
      <c r="H101" s="329"/>
      <c r="I101" s="342"/>
      <c r="J101" s="328"/>
      <c r="K101" s="328"/>
      <c r="L101" s="328"/>
      <c r="M101" s="328"/>
      <c r="N101" s="328"/>
      <c r="O101" s="328"/>
      <c r="P101" s="328"/>
      <c r="Q101" s="328"/>
      <c r="R101" s="328"/>
      <c r="S101" s="343"/>
      <c r="T101" s="344"/>
      <c r="U101" s="323"/>
      <c r="V101" s="323"/>
    </row>
    <row r="102" spans="1:22">
      <c r="A102" s="314"/>
      <c r="B102" s="345"/>
      <c r="C102" s="345"/>
      <c r="D102" s="346"/>
      <c r="E102" s="346"/>
      <c r="F102" s="346"/>
      <c r="G102" s="347"/>
      <c r="H102" s="347"/>
      <c r="I102" s="342"/>
      <c r="J102" s="328"/>
      <c r="K102" s="328"/>
      <c r="L102" s="328"/>
      <c r="M102" s="328"/>
      <c r="N102" s="328"/>
      <c r="O102" s="328"/>
      <c r="P102" s="328"/>
      <c r="Q102" s="328"/>
      <c r="R102" s="328"/>
      <c r="S102" s="343"/>
      <c r="T102" s="344"/>
      <c r="U102" s="323"/>
      <c r="V102" s="323"/>
    </row>
    <row r="103" spans="1:22">
      <c r="A103" s="331"/>
      <c r="B103" s="228"/>
      <c r="C103" s="228"/>
      <c r="D103" s="348"/>
      <c r="E103" s="348"/>
      <c r="F103" s="348"/>
      <c r="G103" s="338"/>
      <c r="H103" s="338"/>
      <c r="I103" s="247"/>
      <c r="J103" s="337"/>
      <c r="K103" s="337"/>
      <c r="L103" s="337"/>
      <c r="M103" s="337"/>
      <c r="N103" s="337"/>
      <c r="O103" s="337"/>
      <c r="P103" s="337"/>
      <c r="Q103" s="337"/>
      <c r="R103" s="337"/>
      <c r="S103" s="224"/>
      <c r="T103" s="344"/>
      <c r="U103" s="323"/>
      <c r="V103" s="323"/>
    </row>
    <row r="104" spans="1:22">
      <c r="A104" s="314">
        <v>29</v>
      </c>
      <c r="B104" s="340"/>
      <c r="C104" s="340"/>
      <c r="D104" s="341"/>
      <c r="E104" s="341"/>
      <c r="F104" s="341"/>
      <c r="G104" s="329"/>
      <c r="H104" s="329"/>
      <c r="I104" s="342"/>
      <c r="J104" s="328"/>
      <c r="K104" s="328"/>
      <c r="L104" s="328"/>
      <c r="M104" s="328"/>
      <c r="N104" s="328"/>
      <c r="O104" s="328"/>
      <c r="P104" s="328"/>
      <c r="Q104" s="328"/>
      <c r="R104" s="328"/>
      <c r="S104" s="343"/>
      <c r="T104" s="344"/>
      <c r="U104" s="323"/>
      <c r="V104" s="323"/>
    </row>
    <row r="105" spans="1:22">
      <c r="A105" s="314"/>
      <c r="B105" s="345"/>
      <c r="C105" s="345"/>
      <c r="D105" s="346"/>
      <c r="E105" s="346"/>
      <c r="F105" s="346"/>
      <c r="G105" s="347"/>
      <c r="H105" s="347"/>
      <c r="I105" s="342"/>
      <c r="J105" s="328"/>
      <c r="K105" s="328"/>
      <c r="L105" s="328"/>
      <c r="M105" s="328"/>
      <c r="N105" s="328"/>
      <c r="O105" s="328"/>
      <c r="P105" s="328"/>
      <c r="Q105" s="328"/>
      <c r="R105" s="328"/>
      <c r="S105" s="343"/>
      <c r="T105" s="344"/>
      <c r="U105" s="323"/>
      <c r="V105" s="323"/>
    </row>
    <row r="106" spans="1:22">
      <c r="A106" s="331"/>
      <c r="B106" s="228"/>
      <c r="C106" s="228"/>
      <c r="D106" s="348"/>
      <c r="E106" s="348"/>
      <c r="F106" s="348"/>
      <c r="G106" s="338"/>
      <c r="H106" s="338"/>
      <c r="I106" s="247"/>
      <c r="J106" s="337"/>
      <c r="K106" s="337"/>
      <c r="L106" s="337"/>
      <c r="M106" s="337"/>
      <c r="N106" s="337"/>
      <c r="O106" s="337"/>
      <c r="P106" s="337"/>
      <c r="Q106" s="337"/>
      <c r="R106" s="337"/>
      <c r="S106" s="224"/>
      <c r="T106" s="344"/>
      <c r="U106" s="323"/>
      <c r="V106" s="323"/>
    </row>
    <row r="107" spans="1:22">
      <c r="A107" s="314">
        <v>30</v>
      </c>
      <c r="B107" s="340"/>
      <c r="C107" s="340"/>
      <c r="D107" s="341"/>
      <c r="E107" s="341"/>
      <c r="F107" s="341"/>
      <c r="G107" s="329"/>
      <c r="H107" s="329"/>
      <c r="I107" s="342"/>
      <c r="J107" s="328"/>
      <c r="K107" s="328"/>
      <c r="L107" s="328"/>
      <c r="M107" s="328"/>
      <c r="N107" s="328"/>
      <c r="O107" s="328"/>
      <c r="P107" s="328"/>
      <c r="Q107" s="328"/>
      <c r="R107" s="328"/>
      <c r="S107" s="343"/>
      <c r="T107" s="344"/>
      <c r="U107" s="323"/>
      <c r="V107" s="323"/>
    </row>
    <row r="108" spans="1:22">
      <c r="A108" s="314"/>
      <c r="B108" s="345"/>
      <c r="C108" s="345"/>
      <c r="D108" s="346"/>
      <c r="E108" s="346"/>
      <c r="F108" s="346"/>
      <c r="G108" s="347"/>
      <c r="H108" s="347"/>
      <c r="I108" s="342"/>
      <c r="J108" s="328"/>
      <c r="K108" s="328"/>
      <c r="L108" s="328"/>
      <c r="M108" s="328"/>
      <c r="N108" s="328"/>
      <c r="O108" s="328"/>
      <c r="P108" s="328"/>
      <c r="Q108" s="328"/>
      <c r="R108" s="328"/>
      <c r="S108" s="343"/>
      <c r="T108" s="344"/>
      <c r="U108" s="323"/>
      <c r="V108" s="323"/>
    </row>
    <row r="109" spans="1:22">
      <c r="A109" s="331"/>
      <c r="B109" s="228"/>
      <c r="C109" s="228"/>
      <c r="D109" s="348"/>
      <c r="E109" s="348"/>
      <c r="F109" s="348"/>
      <c r="G109" s="338"/>
      <c r="H109" s="338"/>
      <c r="I109" s="247"/>
      <c r="J109" s="337"/>
      <c r="K109" s="337"/>
      <c r="L109" s="337"/>
      <c r="M109" s="337"/>
      <c r="N109" s="337"/>
      <c r="O109" s="337"/>
      <c r="P109" s="337"/>
      <c r="Q109" s="337"/>
      <c r="R109" s="337"/>
      <c r="S109" s="224"/>
      <c r="T109" s="344"/>
      <c r="U109" s="323"/>
      <c r="V109" s="323"/>
    </row>
    <row r="110" spans="1:22">
      <c r="A110" s="314">
        <v>31</v>
      </c>
      <c r="B110" s="340"/>
      <c r="C110" s="340"/>
      <c r="D110" s="341"/>
      <c r="E110" s="341"/>
      <c r="F110" s="341"/>
      <c r="G110" s="329"/>
      <c r="H110" s="329"/>
      <c r="I110" s="342"/>
      <c r="J110" s="328"/>
      <c r="K110" s="328"/>
      <c r="L110" s="328"/>
      <c r="M110" s="328"/>
      <c r="N110" s="328"/>
      <c r="O110" s="328"/>
      <c r="P110" s="328"/>
      <c r="Q110" s="328"/>
      <c r="R110" s="328"/>
      <c r="S110" s="343"/>
      <c r="T110" s="344"/>
      <c r="U110" s="323"/>
      <c r="V110" s="323"/>
    </row>
    <row r="111" spans="1:22">
      <c r="A111" s="314"/>
      <c r="B111" s="345"/>
      <c r="C111" s="345"/>
      <c r="D111" s="346"/>
      <c r="E111" s="346"/>
      <c r="F111" s="346"/>
      <c r="G111" s="347"/>
      <c r="H111" s="347"/>
      <c r="I111" s="342"/>
      <c r="J111" s="328"/>
      <c r="K111" s="328"/>
      <c r="L111" s="328"/>
      <c r="M111" s="328"/>
      <c r="N111" s="328"/>
      <c r="O111" s="328"/>
      <c r="P111" s="328"/>
      <c r="Q111" s="328"/>
      <c r="R111" s="328"/>
      <c r="S111" s="343"/>
      <c r="T111" s="344"/>
      <c r="U111" s="323"/>
      <c r="V111" s="323"/>
    </row>
    <row r="112" spans="1:22">
      <c r="A112" s="331"/>
      <c r="B112" s="228"/>
      <c r="C112" s="228"/>
      <c r="D112" s="348"/>
      <c r="E112" s="348"/>
      <c r="F112" s="348"/>
      <c r="G112" s="338"/>
      <c r="H112" s="338"/>
      <c r="I112" s="247"/>
      <c r="J112" s="337"/>
      <c r="K112" s="337"/>
      <c r="L112" s="337"/>
      <c r="M112" s="337"/>
      <c r="N112" s="337"/>
      <c r="O112" s="337"/>
      <c r="P112" s="337"/>
      <c r="Q112" s="337"/>
      <c r="R112" s="337"/>
      <c r="S112" s="224"/>
      <c r="T112" s="344"/>
      <c r="U112" s="323"/>
      <c r="V112" s="323"/>
    </row>
    <row r="113" spans="1:22">
      <c r="A113" s="314">
        <v>32</v>
      </c>
      <c r="B113" s="340"/>
      <c r="C113" s="340"/>
      <c r="D113" s="341"/>
      <c r="E113" s="341"/>
      <c r="F113" s="341"/>
      <c r="G113" s="329"/>
      <c r="H113" s="329"/>
      <c r="I113" s="342"/>
      <c r="J113" s="328"/>
      <c r="K113" s="328"/>
      <c r="L113" s="328"/>
      <c r="M113" s="328"/>
      <c r="N113" s="328"/>
      <c r="O113" s="328"/>
      <c r="P113" s="328"/>
      <c r="Q113" s="328"/>
      <c r="R113" s="328"/>
      <c r="S113" s="343"/>
      <c r="T113" s="344"/>
      <c r="U113" s="323"/>
      <c r="V113" s="323"/>
    </row>
    <row r="114" spans="1:22">
      <c r="A114" s="314"/>
      <c r="B114" s="345"/>
      <c r="C114" s="345"/>
      <c r="D114" s="346"/>
      <c r="E114" s="346"/>
      <c r="F114" s="346"/>
      <c r="G114" s="347"/>
      <c r="H114" s="347"/>
      <c r="I114" s="342"/>
      <c r="J114" s="328"/>
      <c r="K114" s="328"/>
      <c r="L114" s="328"/>
      <c r="M114" s="328"/>
      <c r="N114" s="328"/>
      <c r="O114" s="328"/>
      <c r="P114" s="328"/>
      <c r="Q114" s="328"/>
      <c r="R114" s="328"/>
      <c r="S114" s="343"/>
      <c r="T114" s="344"/>
      <c r="U114" s="323"/>
      <c r="V114" s="323"/>
    </row>
    <row r="115" spans="1:22">
      <c r="A115" s="331"/>
      <c r="B115" s="228"/>
      <c r="C115" s="228"/>
      <c r="D115" s="348"/>
      <c r="E115" s="348"/>
      <c r="F115" s="348"/>
      <c r="G115" s="338"/>
      <c r="H115" s="338"/>
      <c r="I115" s="247"/>
      <c r="J115" s="337"/>
      <c r="K115" s="337"/>
      <c r="L115" s="337"/>
      <c r="M115" s="337"/>
      <c r="N115" s="337"/>
      <c r="O115" s="337"/>
      <c r="P115" s="337"/>
      <c r="Q115" s="337"/>
      <c r="R115" s="337"/>
      <c r="S115" s="224"/>
      <c r="T115" s="344"/>
      <c r="U115" s="323"/>
      <c r="V115" s="323"/>
    </row>
    <row r="116" spans="1:22">
      <c r="A116" s="314">
        <v>33</v>
      </c>
      <c r="B116" s="340"/>
      <c r="C116" s="340"/>
      <c r="D116" s="341"/>
      <c r="E116" s="341"/>
      <c r="F116" s="341"/>
      <c r="G116" s="329"/>
      <c r="H116" s="329"/>
      <c r="I116" s="342"/>
      <c r="J116" s="328"/>
      <c r="K116" s="328"/>
      <c r="L116" s="328"/>
      <c r="M116" s="328"/>
      <c r="N116" s="328"/>
      <c r="O116" s="328"/>
      <c r="P116" s="328"/>
      <c r="Q116" s="328"/>
      <c r="R116" s="328"/>
      <c r="S116" s="343"/>
      <c r="T116" s="344"/>
      <c r="U116" s="323"/>
      <c r="V116" s="323"/>
    </row>
    <row r="117" spans="1:22">
      <c r="A117" s="314"/>
      <c r="B117" s="345"/>
      <c r="C117" s="345"/>
      <c r="D117" s="346"/>
      <c r="E117" s="346"/>
      <c r="F117" s="346"/>
      <c r="G117" s="347"/>
      <c r="H117" s="347"/>
      <c r="I117" s="342"/>
      <c r="J117" s="328"/>
      <c r="K117" s="328"/>
      <c r="L117" s="328"/>
      <c r="M117" s="328"/>
      <c r="N117" s="328"/>
      <c r="O117" s="328"/>
      <c r="P117" s="328"/>
      <c r="Q117" s="328"/>
      <c r="R117" s="328"/>
      <c r="S117" s="343"/>
      <c r="T117" s="344"/>
      <c r="U117" s="323"/>
      <c r="V117" s="323"/>
    </row>
    <row r="118" spans="1:22">
      <c r="A118" s="331"/>
      <c r="B118" s="228"/>
      <c r="C118" s="228"/>
      <c r="D118" s="348"/>
      <c r="E118" s="348"/>
      <c r="F118" s="348"/>
      <c r="G118" s="338"/>
      <c r="H118" s="338"/>
      <c r="I118" s="247"/>
      <c r="J118" s="337"/>
      <c r="K118" s="337"/>
      <c r="L118" s="337"/>
      <c r="M118" s="337"/>
      <c r="N118" s="337"/>
      <c r="O118" s="337"/>
      <c r="P118" s="337"/>
      <c r="Q118" s="337"/>
      <c r="R118" s="337"/>
      <c r="S118" s="224"/>
      <c r="T118" s="344"/>
      <c r="U118" s="323"/>
      <c r="V118" s="323"/>
    </row>
    <row r="119" spans="1:22">
      <c r="A119" s="314">
        <v>34</v>
      </c>
      <c r="B119" s="340"/>
      <c r="C119" s="340"/>
      <c r="D119" s="341"/>
      <c r="E119" s="341"/>
      <c r="F119" s="341"/>
      <c r="G119" s="329"/>
      <c r="H119" s="329"/>
      <c r="I119" s="342"/>
      <c r="J119" s="328"/>
      <c r="K119" s="328"/>
      <c r="L119" s="328"/>
      <c r="M119" s="328"/>
      <c r="N119" s="328"/>
      <c r="O119" s="328"/>
      <c r="P119" s="328"/>
      <c r="Q119" s="328"/>
      <c r="R119" s="328"/>
      <c r="S119" s="343"/>
      <c r="T119" s="344"/>
      <c r="U119" s="323"/>
      <c r="V119" s="323"/>
    </row>
    <row r="120" spans="1:22">
      <c r="A120" s="314"/>
      <c r="B120" s="345"/>
      <c r="C120" s="345"/>
      <c r="D120" s="346"/>
      <c r="E120" s="346"/>
      <c r="F120" s="346"/>
      <c r="G120" s="347"/>
      <c r="H120" s="347"/>
      <c r="I120" s="342"/>
      <c r="J120" s="328"/>
      <c r="K120" s="328"/>
      <c r="L120" s="328"/>
      <c r="M120" s="328"/>
      <c r="N120" s="328"/>
      <c r="O120" s="328"/>
      <c r="P120" s="328"/>
      <c r="Q120" s="328"/>
      <c r="R120" s="328"/>
      <c r="S120" s="343"/>
      <c r="T120" s="344"/>
      <c r="U120" s="323"/>
      <c r="V120" s="323"/>
    </row>
    <row r="121" spans="1:22">
      <c r="A121" s="331"/>
      <c r="B121" s="228"/>
      <c r="C121" s="228"/>
      <c r="D121" s="348"/>
      <c r="E121" s="348"/>
      <c r="F121" s="348"/>
      <c r="G121" s="338"/>
      <c r="H121" s="338"/>
      <c r="I121" s="247"/>
      <c r="J121" s="337"/>
      <c r="K121" s="337"/>
      <c r="L121" s="337"/>
      <c r="M121" s="337"/>
      <c r="N121" s="337"/>
      <c r="O121" s="337"/>
      <c r="P121" s="337"/>
      <c r="Q121" s="337"/>
      <c r="R121" s="337"/>
      <c r="S121" s="224"/>
      <c r="T121" s="344"/>
      <c r="U121" s="323"/>
      <c r="V121" s="323"/>
    </row>
    <row r="122" spans="1:22">
      <c r="A122" s="314">
        <v>35</v>
      </c>
      <c r="B122" s="340"/>
      <c r="C122" s="340"/>
      <c r="D122" s="341"/>
      <c r="E122" s="341"/>
      <c r="F122" s="341"/>
      <c r="G122" s="329"/>
      <c r="H122" s="329"/>
      <c r="I122" s="342"/>
      <c r="J122" s="328"/>
      <c r="K122" s="328"/>
      <c r="L122" s="328"/>
      <c r="M122" s="328"/>
      <c r="N122" s="328"/>
      <c r="O122" s="328"/>
      <c r="P122" s="328"/>
      <c r="Q122" s="328"/>
      <c r="R122" s="328"/>
      <c r="S122" s="343"/>
      <c r="T122" s="344"/>
      <c r="U122" s="323"/>
      <c r="V122" s="323"/>
    </row>
    <row r="123" spans="1:22">
      <c r="A123" s="314"/>
      <c r="B123" s="345"/>
      <c r="C123" s="345"/>
      <c r="D123" s="346"/>
      <c r="E123" s="346"/>
      <c r="F123" s="346"/>
      <c r="G123" s="347"/>
      <c r="H123" s="347"/>
      <c r="I123" s="342"/>
      <c r="J123" s="328"/>
      <c r="K123" s="328"/>
      <c r="L123" s="328"/>
      <c r="M123" s="328"/>
      <c r="N123" s="328"/>
      <c r="O123" s="328"/>
      <c r="P123" s="328"/>
      <c r="Q123" s="328"/>
      <c r="R123" s="328"/>
      <c r="S123" s="343"/>
      <c r="T123" s="344"/>
      <c r="U123" s="323"/>
      <c r="V123" s="323"/>
    </row>
    <row r="124" spans="1:22">
      <c r="A124" s="331"/>
      <c r="B124" s="228"/>
      <c r="C124" s="228"/>
      <c r="D124" s="348"/>
      <c r="E124" s="348"/>
      <c r="F124" s="348"/>
      <c r="G124" s="338"/>
      <c r="H124" s="338"/>
      <c r="I124" s="247"/>
      <c r="J124" s="337"/>
      <c r="K124" s="337"/>
      <c r="L124" s="337"/>
      <c r="M124" s="337"/>
      <c r="N124" s="337"/>
      <c r="O124" s="337"/>
      <c r="P124" s="337"/>
      <c r="Q124" s="337"/>
      <c r="R124" s="337"/>
      <c r="S124" s="224"/>
      <c r="T124" s="344"/>
      <c r="U124" s="323"/>
      <c r="V124" s="323"/>
    </row>
    <row r="125" spans="1:22">
      <c r="A125" s="314">
        <v>36</v>
      </c>
      <c r="B125" s="340"/>
      <c r="C125" s="340"/>
      <c r="D125" s="341"/>
      <c r="E125" s="341"/>
      <c r="F125" s="341"/>
      <c r="G125" s="329"/>
      <c r="H125" s="329"/>
      <c r="I125" s="342"/>
      <c r="J125" s="328"/>
      <c r="K125" s="328"/>
      <c r="L125" s="328"/>
      <c r="M125" s="328"/>
      <c r="N125" s="328"/>
      <c r="O125" s="328"/>
      <c r="P125" s="328"/>
      <c r="Q125" s="328"/>
      <c r="R125" s="328"/>
      <c r="S125" s="343"/>
      <c r="T125" s="344"/>
      <c r="U125" s="323"/>
      <c r="V125" s="323"/>
    </row>
    <row r="126" spans="1:22">
      <c r="A126" s="314"/>
      <c r="B126" s="345"/>
      <c r="C126" s="345"/>
      <c r="D126" s="346"/>
      <c r="E126" s="346"/>
      <c r="F126" s="346"/>
      <c r="G126" s="347"/>
      <c r="H126" s="347"/>
      <c r="I126" s="342"/>
      <c r="J126" s="328"/>
      <c r="K126" s="328"/>
      <c r="L126" s="328"/>
      <c r="M126" s="328"/>
      <c r="N126" s="328"/>
      <c r="O126" s="328"/>
      <c r="P126" s="328"/>
      <c r="Q126" s="328"/>
      <c r="R126" s="328"/>
      <c r="S126" s="343"/>
      <c r="T126" s="344"/>
      <c r="U126" s="323"/>
      <c r="V126" s="323"/>
    </row>
    <row r="127" spans="1:22">
      <c r="A127" s="331"/>
      <c r="B127" s="228"/>
      <c r="C127" s="228"/>
      <c r="D127" s="348"/>
      <c r="E127" s="348"/>
      <c r="F127" s="348"/>
      <c r="G127" s="338"/>
      <c r="H127" s="338"/>
      <c r="I127" s="247"/>
      <c r="J127" s="337"/>
      <c r="K127" s="337"/>
      <c r="L127" s="337"/>
      <c r="M127" s="337"/>
      <c r="N127" s="337"/>
      <c r="O127" s="337"/>
      <c r="P127" s="337"/>
      <c r="Q127" s="337"/>
      <c r="R127" s="337"/>
      <c r="S127" s="224"/>
      <c r="T127" s="344"/>
      <c r="U127" s="323"/>
      <c r="V127" s="323"/>
    </row>
    <row r="128" spans="1:22">
      <c r="A128" s="314">
        <v>37</v>
      </c>
      <c r="B128" s="340"/>
      <c r="C128" s="340"/>
      <c r="D128" s="341"/>
      <c r="E128" s="341"/>
      <c r="F128" s="341"/>
      <c r="G128" s="329"/>
      <c r="H128" s="329"/>
      <c r="I128" s="342"/>
      <c r="J128" s="328"/>
      <c r="K128" s="328"/>
      <c r="L128" s="328"/>
      <c r="M128" s="328"/>
      <c r="N128" s="328"/>
      <c r="O128" s="328"/>
      <c r="P128" s="328"/>
      <c r="Q128" s="328"/>
      <c r="R128" s="328"/>
      <c r="S128" s="343"/>
      <c r="T128" s="344"/>
      <c r="U128" s="323"/>
      <c r="V128" s="323"/>
    </row>
    <row r="129" spans="1:22">
      <c r="A129" s="314"/>
      <c r="B129" s="345"/>
      <c r="C129" s="345"/>
      <c r="D129" s="346"/>
      <c r="E129" s="346"/>
      <c r="F129" s="346"/>
      <c r="G129" s="347"/>
      <c r="H129" s="347"/>
      <c r="I129" s="342"/>
      <c r="J129" s="328"/>
      <c r="K129" s="328"/>
      <c r="L129" s="328"/>
      <c r="M129" s="328"/>
      <c r="N129" s="328"/>
      <c r="O129" s="328"/>
      <c r="P129" s="328"/>
      <c r="Q129" s="328"/>
      <c r="R129" s="328"/>
      <c r="S129" s="343"/>
      <c r="T129" s="344"/>
      <c r="U129" s="323"/>
      <c r="V129" s="323"/>
    </row>
    <row r="130" spans="1:22">
      <c r="A130" s="331"/>
      <c r="B130" s="228"/>
      <c r="C130" s="228"/>
      <c r="D130" s="348"/>
      <c r="E130" s="348"/>
      <c r="F130" s="348"/>
      <c r="G130" s="338"/>
      <c r="H130" s="338"/>
      <c r="I130" s="247"/>
      <c r="J130" s="337"/>
      <c r="K130" s="337"/>
      <c r="L130" s="337"/>
      <c r="M130" s="337"/>
      <c r="N130" s="337"/>
      <c r="O130" s="337"/>
      <c r="P130" s="337"/>
      <c r="Q130" s="337"/>
      <c r="R130" s="337"/>
      <c r="S130" s="224"/>
      <c r="T130" s="344"/>
      <c r="U130" s="323"/>
      <c r="V130" s="323"/>
    </row>
    <row r="131" spans="1:22">
      <c r="A131" s="314">
        <v>38</v>
      </c>
      <c r="B131" s="340"/>
      <c r="C131" s="340"/>
      <c r="D131" s="341"/>
      <c r="E131" s="341"/>
      <c r="F131" s="341"/>
      <c r="G131" s="329"/>
      <c r="H131" s="329"/>
      <c r="I131" s="342"/>
      <c r="J131" s="328"/>
      <c r="K131" s="328"/>
      <c r="L131" s="328"/>
      <c r="M131" s="328"/>
      <c r="N131" s="328"/>
      <c r="O131" s="328"/>
      <c r="P131" s="328"/>
      <c r="Q131" s="328"/>
      <c r="R131" s="328"/>
      <c r="S131" s="343"/>
      <c r="T131" s="344"/>
      <c r="U131" s="323"/>
      <c r="V131" s="323"/>
    </row>
    <row r="132" spans="1:22">
      <c r="A132" s="314"/>
      <c r="B132" s="345"/>
      <c r="C132" s="345"/>
      <c r="D132" s="346"/>
      <c r="E132" s="346"/>
      <c r="F132" s="346"/>
      <c r="G132" s="347"/>
      <c r="H132" s="347"/>
      <c r="I132" s="342"/>
      <c r="J132" s="328"/>
      <c r="K132" s="328"/>
      <c r="L132" s="328"/>
      <c r="M132" s="328"/>
      <c r="N132" s="328"/>
      <c r="O132" s="328"/>
      <c r="P132" s="328"/>
      <c r="Q132" s="328"/>
      <c r="R132" s="328"/>
      <c r="S132" s="343"/>
      <c r="T132" s="344"/>
      <c r="U132" s="323"/>
      <c r="V132" s="323"/>
    </row>
    <row r="133" spans="1:22">
      <c r="A133" s="331"/>
      <c r="B133" s="228"/>
      <c r="C133" s="228"/>
      <c r="D133" s="348"/>
      <c r="E133" s="348"/>
      <c r="F133" s="348"/>
      <c r="G133" s="338"/>
      <c r="H133" s="338"/>
      <c r="I133" s="247"/>
      <c r="J133" s="337"/>
      <c r="K133" s="337"/>
      <c r="L133" s="337"/>
      <c r="M133" s="337"/>
      <c r="N133" s="337"/>
      <c r="O133" s="337"/>
      <c r="P133" s="337"/>
      <c r="Q133" s="337"/>
      <c r="R133" s="337"/>
      <c r="S133" s="224"/>
      <c r="T133" s="344"/>
      <c r="U133" s="323"/>
      <c r="V133" s="323"/>
    </row>
    <row r="134" spans="1:22">
      <c r="A134" s="314">
        <v>39</v>
      </c>
      <c r="B134" s="340"/>
      <c r="C134" s="340"/>
      <c r="D134" s="341"/>
      <c r="E134" s="341"/>
      <c r="F134" s="341"/>
      <c r="G134" s="329"/>
      <c r="H134" s="329"/>
      <c r="I134" s="342"/>
      <c r="J134" s="328"/>
      <c r="K134" s="328"/>
      <c r="L134" s="328"/>
      <c r="M134" s="328"/>
      <c r="N134" s="328"/>
      <c r="O134" s="328"/>
      <c r="P134" s="328"/>
      <c r="Q134" s="328"/>
      <c r="R134" s="328"/>
      <c r="S134" s="343"/>
      <c r="T134" s="344"/>
      <c r="U134" s="323"/>
      <c r="V134" s="323"/>
    </row>
    <row r="135" spans="1:22">
      <c r="A135" s="314"/>
      <c r="B135" s="345"/>
      <c r="C135" s="345"/>
      <c r="D135" s="346"/>
      <c r="E135" s="346"/>
      <c r="F135" s="346"/>
      <c r="G135" s="347"/>
      <c r="H135" s="347"/>
      <c r="I135" s="342"/>
      <c r="J135" s="328"/>
      <c r="K135" s="328"/>
      <c r="L135" s="328"/>
      <c r="M135" s="328"/>
      <c r="N135" s="328"/>
      <c r="O135" s="328"/>
      <c r="P135" s="328"/>
      <c r="Q135" s="328"/>
      <c r="R135" s="328"/>
      <c r="S135" s="343"/>
      <c r="T135" s="344"/>
      <c r="U135" s="323"/>
      <c r="V135" s="323"/>
    </row>
    <row r="136" spans="1:22">
      <c r="A136" s="331"/>
      <c r="B136" s="228"/>
      <c r="C136" s="228"/>
      <c r="D136" s="348"/>
      <c r="E136" s="348"/>
      <c r="F136" s="348"/>
      <c r="G136" s="338"/>
      <c r="H136" s="338"/>
      <c r="I136" s="247"/>
      <c r="J136" s="337"/>
      <c r="K136" s="337"/>
      <c r="L136" s="337"/>
      <c r="M136" s="337"/>
      <c r="N136" s="337"/>
      <c r="O136" s="337"/>
      <c r="P136" s="337"/>
      <c r="Q136" s="337"/>
      <c r="R136" s="337"/>
      <c r="S136" s="224"/>
      <c r="T136" s="344"/>
      <c r="U136" s="323"/>
      <c r="V136" s="323"/>
    </row>
    <row r="137" spans="1:22">
      <c r="A137" s="314">
        <v>40</v>
      </c>
      <c r="B137" s="340"/>
      <c r="C137" s="340"/>
      <c r="D137" s="341"/>
      <c r="E137" s="341"/>
      <c r="F137" s="341"/>
      <c r="G137" s="329"/>
      <c r="H137" s="329"/>
      <c r="I137" s="342"/>
      <c r="J137" s="328"/>
      <c r="K137" s="328"/>
      <c r="L137" s="328"/>
      <c r="M137" s="328"/>
      <c r="N137" s="328"/>
      <c r="O137" s="328"/>
      <c r="P137" s="328"/>
      <c r="Q137" s="328"/>
      <c r="R137" s="328"/>
      <c r="S137" s="343"/>
      <c r="T137" s="344"/>
      <c r="U137" s="323"/>
      <c r="V137" s="323"/>
    </row>
    <row r="138" spans="1:22">
      <c r="A138" s="314"/>
      <c r="B138" s="345"/>
      <c r="C138" s="345"/>
      <c r="D138" s="346"/>
      <c r="E138" s="346"/>
      <c r="F138" s="346"/>
      <c r="G138" s="347"/>
      <c r="H138" s="347"/>
      <c r="I138" s="342"/>
      <c r="J138" s="328"/>
      <c r="K138" s="328"/>
      <c r="L138" s="328"/>
      <c r="M138" s="328"/>
      <c r="N138" s="328"/>
      <c r="O138" s="328"/>
      <c r="P138" s="328"/>
      <c r="Q138" s="328"/>
      <c r="R138" s="328"/>
      <c r="S138" s="343"/>
      <c r="T138" s="344"/>
      <c r="U138" s="323"/>
      <c r="V138" s="323"/>
    </row>
    <row r="139" spans="1:22">
      <c r="A139" s="331"/>
      <c r="B139" s="228"/>
      <c r="C139" s="228"/>
      <c r="D139" s="348"/>
      <c r="E139" s="348"/>
      <c r="F139" s="348"/>
      <c r="G139" s="338"/>
      <c r="H139" s="338"/>
      <c r="I139" s="247"/>
      <c r="J139" s="337"/>
      <c r="K139" s="337"/>
      <c r="L139" s="337"/>
      <c r="M139" s="337"/>
      <c r="N139" s="337"/>
      <c r="O139" s="337"/>
      <c r="P139" s="337"/>
      <c r="Q139" s="337"/>
      <c r="R139" s="337"/>
      <c r="S139" s="224"/>
      <c r="T139" s="344"/>
      <c r="U139" s="323"/>
      <c r="V139" s="323"/>
    </row>
    <row r="140" spans="1:22">
      <c r="A140" s="314">
        <v>41</v>
      </c>
      <c r="B140" s="340"/>
      <c r="C140" s="340"/>
      <c r="D140" s="341"/>
      <c r="E140" s="341"/>
      <c r="F140" s="341"/>
      <c r="G140" s="329"/>
      <c r="H140" s="329"/>
      <c r="I140" s="342"/>
      <c r="J140" s="328"/>
      <c r="K140" s="328"/>
      <c r="L140" s="328"/>
      <c r="M140" s="328"/>
      <c r="N140" s="328"/>
      <c r="O140" s="328"/>
      <c r="P140" s="328"/>
      <c r="Q140" s="328"/>
      <c r="R140" s="328"/>
      <c r="S140" s="343"/>
      <c r="T140" s="344"/>
      <c r="U140" s="323"/>
      <c r="V140" s="323"/>
    </row>
    <row r="141" spans="1:22">
      <c r="A141" s="314"/>
      <c r="B141" s="345"/>
      <c r="C141" s="345"/>
      <c r="D141" s="346"/>
      <c r="E141" s="346"/>
      <c r="F141" s="346"/>
      <c r="G141" s="347"/>
      <c r="H141" s="347"/>
      <c r="I141" s="342"/>
      <c r="J141" s="328"/>
      <c r="K141" s="328"/>
      <c r="L141" s="328"/>
      <c r="M141" s="328"/>
      <c r="N141" s="328"/>
      <c r="O141" s="328"/>
      <c r="P141" s="328"/>
      <c r="Q141" s="328"/>
      <c r="R141" s="328"/>
      <c r="S141" s="343"/>
      <c r="T141" s="344"/>
      <c r="U141" s="323"/>
      <c r="V141" s="323"/>
    </row>
    <row r="142" spans="1:22">
      <c r="A142" s="331"/>
      <c r="B142" s="228"/>
      <c r="C142" s="228"/>
      <c r="D142" s="348"/>
      <c r="E142" s="348"/>
      <c r="F142" s="348"/>
      <c r="G142" s="338"/>
      <c r="H142" s="338"/>
      <c r="I142" s="247"/>
      <c r="J142" s="337"/>
      <c r="K142" s="337"/>
      <c r="L142" s="337"/>
      <c r="M142" s="337"/>
      <c r="N142" s="337"/>
      <c r="O142" s="337"/>
      <c r="P142" s="337"/>
      <c r="Q142" s="337"/>
      <c r="R142" s="337"/>
      <c r="S142" s="224"/>
      <c r="T142" s="344"/>
      <c r="U142" s="323"/>
      <c r="V142" s="323"/>
    </row>
    <row r="143" spans="1:22">
      <c r="A143" s="314">
        <v>42</v>
      </c>
      <c r="B143" s="340"/>
      <c r="C143" s="340"/>
      <c r="D143" s="341"/>
      <c r="E143" s="341"/>
      <c r="F143" s="341"/>
      <c r="G143" s="329"/>
      <c r="H143" s="329"/>
      <c r="I143" s="342"/>
      <c r="J143" s="328"/>
      <c r="K143" s="328"/>
      <c r="L143" s="328"/>
      <c r="M143" s="328"/>
      <c r="N143" s="328"/>
      <c r="O143" s="328"/>
      <c r="P143" s="328"/>
      <c r="Q143" s="328"/>
      <c r="R143" s="328"/>
      <c r="S143" s="343"/>
      <c r="T143" s="344"/>
      <c r="U143" s="323"/>
      <c r="V143" s="323"/>
    </row>
    <row r="144" spans="1:22">
      <c r="A144" s="314"/>
      <c r="B144" s="345"/>
      <c r="C144" s="345"/>
      <c r="D144" s="346"/>
      <c r="E144" s="346"/>
      <c r="F144" s="346"/>
      <c r="G144" s="347"/>
      <c r="H144" s="347"/>
      <c r="I144" s="342"/>
      <c r="J144" s="328"/>
      <c r="K144" s="328"/>
      <c r="L144" s="328"/>
      <c r="M144" s="328"/>
      <c r="N144" s="328"/>
      <c r="O144" s="328"/>
      <c r="P144" s="328"/>
      <c r="Q144" s="328"/>
      <c r="R144" s="328"/>
      <c r="S144" s="343"/>
      <c r="T144" s="344"/>
      <c r="U144" s="323"/>
      <c r="V144" s="323"/>
    </row>
    <row r="145" spans="1:22">
      <c r="A145" s="331"/>
      <c r="B145" s="228"/>
      <c r="C145" s="228"/>
      <c r="D145" s="348"/>
      <c r="E145" s="348"/>
      <c r="F145" s="348"/>
      <c r="G145" s="338"/>
      <c r="H145" s="338"/>
      <c r="I145" s="247"/>
      <c r="J145" s="337"/>
      <c r="K145" s="337"/>
      <c r="L145" s="337"/>
      <c r="M145" s="337"/>
      <c r="N145" s="337"/>
      <c r="O145" s="337"/>
      <c r="P145" s="337"/>
      <c r="Q145" s="337"/>
      <c r="R145" s="337"/>
      <c r="S145" s="224"/>
      <c r="T145" s="344"/>
      <c r="U145" s="323"/>
      <c r="V145" s="323"/>
    </row>
    <row r="146" spans="1:22">
      <c r="A146" s="314">
        <v>43</v>
      </c>
      <c r="B146" s="340"/>
      <c r="C146" s="340"/>
      <c r="D146" s="341"/>
      <c r="E146" s="341"/>
      <c r="F146" s="341"/>
      <c r="G146" s="329"/>
      <c r="H146" s="329"/>
      <c r="I146" s="342"/>
      <c r="J146" s="328"/>
      <c r="K146" s="328"/>
      <c r="L146" s="328"/>
      <c r="M146" s="328"/>
      <c r="N146" s="328"/>
      <c r="O146" s="328"/>
      <c r="P146" s="328"/>
      <c r="Q146" s="328"/>
      <c r="R146" s="328"/>
      <c r="S146" s="343"/>
      <c r="T146" s="344"/>
      <c r="U146" s="323"/>
      <c r="V146" s="323"/>
    </row>
    <row r="147" spans="1:22">
      <c r="A147" s="314"/>
      <c r="B147" s="345"/>
      <c r="C147" s="345"/>
      <c r="D147" s="346"/>
      <c r="E147" s="346"/>
      <c r="F147" s="346"/>
      <c r="G147" s="347"/>
      <c r="H147" s="347"/>
      <c r="I147" s="342"/>
      <c r="J147" s="328"/>
      <c r="K147" s="328"/>
      <c r="L147" s="328"/>
      <c r="M147" s="328"/>
      <c r="N147" s="328"/>
      <c r="O147" s="328"/>
      <c r="P147" s="328"/>
      <c r="Q147" s="328"/>
      <c r="R147" s="328"/>
      <c r="S147" s="343"/>
      <c r="T147" s="344"/>
      <c r="U147" s="323"/>
      <c r="V147" s="323"/>
    </row>
    <row r="148" spans="1:22">
      <c r="A148" s="331"/>
      <c r="B148" s="228"/>
      <c r="C148" s="228"/>
      <c r="D148" s="348"/>
      <c r="E148" s="348"/>
      <c r="F148" s="348"/>
      <c r="G148" s="338"/>
      <c r="H148" s="338"/>
      <c r="I148" s="247"/>
      <c r="J148" s="337"/>
      <c r="K148" s="337"/>
      <c r="L148" s="337"/>
      <c r="M148" s="337"/>
      <c r="N148" s="337"/>
      <c r="O148" s="337"/>
      <c r="P148" s="337"/>
      <c r="Q148" s="337"/>
      <c r="R148" s="337"/>
      <c r="S148" s="224"/>
      <c r="T148" s="344"/>
      <c r="U148" s="323"/>
      <c r="V148" s="323"/>
    </row>
    <row r="149" spans="1:22">
      <c r="A149" s="314">
        <v>44</v>
      </c>
      <c r="B149" s="340"/>
      <c r="C149" s="340"/>
      <c r="D149" s="341"/>
      <c r="E149" s="341"/>
      <c r="F149" s="341"/>
      <c r="G149" s="329"/>
      <c r="H149" s="329"/>
      <c r="I149" s="342"/>
      <c r="J149" s="328"/>
      <c r="K149" s="328"/>
      <c r="L149" s="328"/>
      <c r="M149" s="328"/>
      <c r="N149" s="328"/>
      <c r="O149" s="328"/>
      <c r="P149" s="328"/>
      <c r="Q149" s="328"/>
      <c r="R149" s="328"/>
      <c r="S149" s="343"/>
      <c r="T149" s="344"/>
      <c r="U149" s="323"/>
      <c r="V149" s="323"/>
    </row>
    <row r="150" spans="1:22">
      <c r="A150" s="314"/>
      <c r="B150" s="345"/>
      <c r="C150" s="345"/>
      <c r="D150" s="346"/>
      <c r="E150" s="346"/>
      <c r="F150" s="346"/>
      <c r="G150" s="347"/>
      <c r="H150" s="347"/>
      <c r="I150" s="342"/>
      <c r="J150" s="328"/>
      <c r="K150" s="328"/>
      <c r="L150" s="328"/>
      <c r="M150" s="328"/>
      <c r="N150" s="328"/>
      <c r="O150" s="328"/>
      <c r="P150" s="328"/>
      <c r="Q150" s="328"/>
      <c r="R150" s="328"/>
      <c r="S150" s="343"/>
      <c r="T150" s="344"/>
      <c r="U150" s="323"/>
      <c r="V150" s="323"/>
    </row>
    <row r="151" spans="1:22">
      <c r="A151" s="331"/>
      <c r="B151" s="228"/>
      <c r="C151" s="228"/>
      <c r="D151" s="348"/>
      <c r="E151" s="348"/>
      <c r="F151" s="348"/>
      <c r="G151" s="338"/>
      <c r="H151" s="338"/>
      <c r="I151" s="247"/>
      <c r="J151" s="337"/>
      <c r="K151" s="337"/>
      <c r="L151" s="337"/>
      <c r="M151" s="337"/>
      <c r="N151" s="337"/>
      <c r="O151" s="337"/>
      <c r="P151" s="337"/>
      <c r="Q151" s="337"/>
      <c r="R151" s="337"/>
      <c r="S151" s="224"/>
      <c r="T151" s="344"/>
      <c r="U151" s="323"/>
      <c r="V151" s="323"/>
    </row>
    <row r="152" spans="1:22">
      <c r="A152" s="314">
        <v>45</v>
      </c>
      <c r="B152" s="340"/>
      <c r="C152" s="340"/>
      <c r="D152" s="341"/>
      <c r="E152" s="341"/>
      <c r="F152" s="341"/>
      <c r="G152" s="329"/>
      <c r="H152" s="329"/>
      <c r="I152" s="342"/>
      <c r="J152" s="328"/>
      <c r="K152" s="328"/>
      <c r="L152" s="328"/>
      <c r="M152" s="328"/>
      <c r="N152" s="328"/>
      <c r="O152" s="328"/>
      <c r="P152" s="328"/>
      <c r="Q152" s="328"/>
      <c r="R152" s="328"/>
      <c r="S152" s="343"/>
      <c r="T152" s="344"/>
      <c r="U152" s="323"/>
      <c r="V152" s="323"/>
    </row>
    <row r="153" spans="1:22">
      <c r="A153" s="314"/>
      <c r="B153" s="345"/>
      <c r="C153" s="345"/>
      <c r="D153" s="346"/>
      <c r="E153" s="346"/>
      <c r="F153" s="346"/>
      <c r="G153" s="347"/>
      <c r="H153" s="347"/>
      <c r="I153" s="342"/>
      <c r="J153" s="328"/>
      <c r="K153" s="328"/>
      <c r="L153" s="328"/>
      <c r="M153" s="328"/>
      <c r="N153" s="328"/>
      <c r="O153" s="328"/>
      <c r="P153" s="328"/>
      <c r="Q153" s="328"/>
      <c r="R153" s="328"/>
      <c r="S153" s="343"/>
      <c r="T153" s="344"/>
      <c r="U153" s="323"/>
      <c r="V153" s="323"/>
    </row>
    <row r="154" spans="1:22">
      <c r="A154" s="331"/>
      <c r="B154" s="228"/>
      <c r="C154" s="228"/>
      <c r="D154" s="348"/>
      <c r="E154" s="348"/>
      <c r="F154" s="348"/>
      <c r="G154" s="338"/>
      <c r="H154" s="338"/>
      <c r="I154" s="247"/>
      <c r="J154" s="337"/>
      <c r="K154" s="337"/>
      <c r="L154" s="337"/>
      <c r="M154" s="337"/>
      <c r="N154" s="337"/>
      <c r="O154" s="337"/>
      <c r="P154" s="337"/>
      <c r="Q154" s="337"/>
      <c r="R154" s="337"/>
      <c r="S154" s="224"/>
      <c r="T154" s="344"/>
      <c r="U154" s="323"/>
      <c r="V154" s="323"/>
    </row>
    <row r="155" spans="1:22">
      <c r="A155" s="314">
        <v>46</v>
      </c>
      <c r="B155" s="340"/>
      <c r="C155" s="340"/>
      <c r="D155" s="341"/>
      <c r="E155" s="341"/>
      <c r="F155" s="341"/>
      <c r="G155" s="329"/>
      <c r="H155" s="329"/>
      <c r="I155" s="342"/>
      <c r="J155" s="328"/>
      <c r="K155" s="328"/>
      <c r="L155" s="328"/>
      <c r="M155" s="328"/>
      <c r="N155" s="328"/>
      <c r="O155" s="328"/>
      <c r="P155" s="328"/>
      <c r="Q155" s="328"/>
      <c r="R155" s="328"/>
      <c r="S155" s="343"/>
      <c r="T155" s="344"/>
      <c r="U155" s="323"/>
      <c r="V155" s="323"/>
    </row>
    <row r="156" spans="1:22">
      <c r="A156" s="314"/>
      <c r="B156" s="345"/>
      <c r="C156" s="345"/>
      <c r="D156" s="346"/>
      <c r="E156" s="346"/>
      <c r="F156" s="346"/>
      <c r="G156" s="347"/>
      <c r="H156" s="347"/>
      <c r="I156" s="342"/>
      <c r="J156" s="328"/>
      <c r="K156" s="328"/>
      <c r="L156" s="328"/>
      <c r="M156" s="328"/>
      <c r="N156" s="328"/>
      <c r="O156" s="328"/>
      <c r="P156" s="328"/>
      <c r="Q156" s="328"/>
      <c r="R156" s="328"/>
      <c r="S156" s="343"/>
      <c r="T156" s="344"/>
      <c r="U156" s="323"/>
      <c r="V156" s="323"/>
    </row>
    <row r="157" spans="1:22">
      <c r="A157" s="331"/>
      <c r="B157" s="228"/>
      <c r="C157" s="228"/>
      <c r="D157" s="348"/>
      <c r="E157" s="348"/>
      <c r="F157" s="348"/>
      <c r="G157" s="338"/>
      <c r="H157" s="338"/>
      <c r="I157" s="247"/>
      <c r="J157" s="337"/>
      <c r="K157" s="337"/>
      <c r="L157" s="337"/>
      <c r="M157" s="337"/>
      <c r="N157" s="337"/>
      <c r="O157" s="337"/>
      <c r="P157" s="337"/>
      <c r="Q157" s="337"/>
      <c r="R157" s="337"/>
      <c r="S157" s="224"/>
      <c r="T157" s="344"/>
      <c r="U157" s="323"/>
      <c r="V157" s="323"/>
    </row>
    <row r="158" spans="1:22">
      <c r="A158" s="314">
        <v>47</v>
      </c>
      <c r="B158" s="340"/>
      <c r="C158" s="340"/>
      <c r="D158" s="341"/>
      <c r="E158" s="341"/>
      <c r="F158" s="341"/>
      <c r="G158" s="329"/>
      <c r="H158" s="329"/>
      <c r="I158" s="342"/>
      <c r="J158" s="328"/>
      <c r="K158" s="328"/>
      <c r="L158" s="328"/>
      <c r="M158" s="328"/>
      <c r="N158" s="328"/>
      <c r="O158" s="328"/>
      <c r="P158" s="328"/>
      <c r="Q158" s="328"/>
      <c r="R158" s="328"/>
      <c r="S158" s="343"/>
      <c r="T158" s="344"/>
      <c r="U158" s="323"/>
      <c r="V158" s="323"/>
    </row>
    <row r="159" spans="1:22">
      <c r="A159" s="314"/>
      <c r="B159" s="345"/>
      <c r="C159" s="345"/>
      <c r="D159" s="346"/>
      <c r="E159" s="346"/>
      <c r="F159" s="346"/>
      <c r="G159" s="347"/>
      <c r="H159" s="347"/>
      <c r="I159" s="342"/>
      <c r="J159" s="328"/>
      <c r="K159" s="328"/>
      <c r="L159" s="328"/>
      <c r="M159" s="328"/>
      <c r="N159" s="328"/>
      <c r="O159" s="328"/>
      <c r="P159" s="328"/>
      <c r="Q159" s="328"/>
      <c r="R159" s="328"/>
      <c r="S159" s="343"/>
      <c r="T159" s="344"/>
      <c r="U159" s="323"/>
      <c r="V159" s="323"/>
    </row>
    <row r="160" spans="1:22">
      <c r="A160" s="331"/>
      <c r="B160" s="228"/>
      <c r="C160" s="228"/>
      <c r="D160" s="348"/>
      <c r="E160" s="348"/>
      <c r="F160" s="348"/>
      <c r="G160" s="338"/>
      <c r="H160" s="338"/>
      <c r="I160" s="247"/>
      <c r="J160" s="337"/>
      <c r="K160" s="337"/>
      <c r="L160" s="337"/>
      <c r="M160" s="337"/>
      <c r="N160" s="337"/>
      <c r="O160" s="337"/>
      <c r="P160" s="337"/>
      <c r="Q160" s="337"/>
      <c r="R160" s="337"/>
      <c r="S160" s="224"/>
      <c r="T160" s="344"/>
      <c r="U160" s="323"/>
      <c r="V160" s="323"/>
    </row>
    <row r="161" spans="1:22">
      <c r="A161" s="314">
        <v>48</v>
      </c>
      <c r="B161" s="340"/>
      <c r="C161" s="340"/>
      <c r="D161" s="341"/>
      <c r="E161" s="341"/>
      <c r="F161" s="341"/>
      <c r="G161" s="329"/>
      <c r="H161" s="329"/>
      <c r="I161" s="342"/>
      <c r="J161" s="328"/>
      <c r="K161" s="328"/>
      <c r="L161" s="328"/>
      <c r="M161" s="328"/>
      <c r="N161" s="328"/>
      <c r="O161" s="328"/>
      <c r="P161" s="328"/>
      <c r="Q161" s="328"/>
      <c r="R161" s="328"/>
      <c r="S161" s="343"/>
      <c r="T161" s="344"/>
      <c r="U161" s="323"/>
      <c r="V161" s="323"/>
    </row>
    <row r="162" spans="1:22">
      <c r="A162" s="314"/>
      <c r="B162" s="345"/>
      <c r="C162" s="345"/>
      <c r="D162" s="346"/>
      <c r="E162" s="346"/>
      <c r="F162" s="346"/>
      <c r="G162" s="347"/>
      <c r="H162" s="347"/>
      <c r="I162" s="342"/>
      <c r="J162" s="328"/>
      <c r="K162" s="328"/>
      <c r="L162" s="328"/>
      <c r="M162" s="328"/>
      <c r="N162" s="328"/>
      <c r="O162" s="328"/>
      <c r="P162" s="328"/>
      <c r="Q162" s="328"/>
      <c r="R162" s="328"/>
      <c r="S162" s="343"/>
      <c r="T162" s="344"/>
      <c r="U162" s="323"/>
      <c r="V162" s="323"/>
    </row>
    <row r="163" spans="1:22">
      <c r="A163" s="331"/>
      <c r="B163" s="228"/>
      <c r="C163" s="228"/>
      <c r="D163" s="348"/>
      <c r="E163" s="348"/>
      <c r="F163" s="348"/>
      <c r="G163" s="338"/>
      <c r="H163" s="338"/>
      <c r="I163" s="247"/>
      <c r="J163" s="337"/>
      <c r="K163" s="337"/>
      <c r="L163" s="337"/>
      <c r="M163" s="337"/>
      <c r="N163" s="337"/>
      <c r="O163" s="337"/>
      <c r="P163" s="337"/>
      <c r="Q163" s="337"/>
      <c r="R163" s="337"/>
      <c r="S163" s="224"/>
      <c r="T163" s="344"/>
      <c r="U163" s="323"/>
      <c r="V163" s="323"/>
    </row>
    <row r="164" spans="1:22">
      <c r="A164" s="314">
        <v>49</v>
      </c>
      <c r="B164" s="340"/>
      <c r="C164" s="340"/>
      <c r="D164" s="341"/>
      <c r="E164" s="341"/>
      <c r="F164" s="341"/>
      <c r="G164" s="329"/>
      <c r="H164" s="329"/>
      <c r="I164" s="342"/>
      <c r="J164" s="328"/>
      <c r="K164" s="328"/>
      <c r="L164" s="328"/>
      <c r="M164" s="328"/>
      <c r="N164" s="328"/>
      <c r="O164" s="328"/>
      <c r="P164" s="328"/>
      <c r="Q164" s="328"/>
      <c r="R164" s="328"/>
      <c r="S164" s="343"/>
      <c r="T164" s="344"/>
      <c r="U164" s="323"/>
      <c r="V164" s="323"/>
    </row>
    <row r="165" spans="1:22">
      <c r="A165" s="314"/>
      <c r="B165" s="345"/>
      <c r="C165" s="345"/>
      <c r="D165" s="346"/>
      <c r="E165" s="346"/>
      <c r="F165" s="346"/>
      <c r="G165" s="347"/>
      <c r="H165" s="347"/>
      <c r="I165" s="342"/>
      <c r="J165" s="328"/>
      <c r="K165" s="328"/>
      <c r="L165" s="328"/>
      <c r="M165" s="328"/>
      <c r="N165" s="328"/>
      <c r="O165" s="328"/>
      <c r="P165" s="328"/>
      <c r="Q165" s="328"/>
      <c r="R165" s="328"/>
      <c r="S165" s="343"/>
      <c r="T165" s="344"/>
      <c r="U165" s="323"/>
      <c r="V165" s="323"/>
    </row>
    <row r="166" spans="1:22">
      <c r="A166" s="331"/>
      <c r="B166" s="228"/>
      <c r="C166" s="228"/>
      <c r="D166" s="348"/>
      <c r="E166" s="348"/>
      <c r="F166" s="348"/>
      <c r="G166" s="338"/>
      <c r="H166" s="338"/>
      <c r="I166" s="247"/>
      <c r="J166" s="337"/>
      <c r="K166" s="337"/>
      <c r="L166" s="337"/>
      <c r="M166" s="337"/>
      <c r="N166" s="337"/>
      <c r="O166" s="337"/>
      <c r="P166" s="337"/>
      <c r="Q166" s="337"/>
      <c r="R166" s="337"/>
      <c r="S166" s="224"/>
      <c r="T166" s="344"/>
      <c r="U166" s="323"/>
      <c r="V166" s="323"/>
    </row>
    <row r="167" spans="1:22">
      <c r="A167" s="314">
        <v>50</v>
      </c>
      <c r="B167" s="340"/>
      <c r="C167" s="340"/>
      <c r="D167" s="341"/>
      <c r="E167" s="341"/>
      <c r="F167" s="341"/>
      <c r="G167" s="329"/>
      <c r="H167" s="329"/>
      <c r="I167" s="342"/>
      <c r="J167" s="328"/>
      <c r="K167" s="328"/>
      <c r="L167" s="328"/>
      <c r="M167" s="328"/>
      <c r="N167" s="328"/>
      <c r="O167" s="328"/>
      <c r="P167" s="328"/>
      <c r="Q167" s="328"/>
      <c r="R167" s="328"/>
      <c r="S167" s="343"/>
      <c r="T167" s="344"/>
      <c r="U167" s="323"/>
      <c r="V167" s="323"/>
    </row>
    <row r="168" spans="1:22">
      <c r="A168" s="314"/>
      <c r="B168" s="345"/>
      <c r="C168" s="345"/>
      <c r="D168" s="346"/>
      <c r="E168" s="346"/>
      <c r="F168" s="346"/>
      <c r="G168" s="347"/>
      <c r="H168" s="347"/>
      <c r="I168" s="342"/>
      <c r="J168" s="328"/>
      <c r="K168" s="328"/>
      <c r="L168" s="328"/>
      <c r="M168" s="328"/>
      <c r="N168" s="328"/>
      <c r="O168" s="328"/>
      <c r="P168" s="328"/>
      <c r="Q168" s="328"/>
      <c r="R168" s="328"/>
      <c r="S168" s="343"/>
      <c r="T168" s="344"/>
      <c r="U168" s="323"/>
      <c r="V168" s="323"/>
    </row>
    <row r="169" spans="1:22">
      <c r="A169" s="331"/>
      <c r="B169" s="228"/>
      <c r="C169" s="228"/>
      <c r="D169" s="348"/>
      <c r="E169" s="348"/>
      <c r="F169" s="348"/>
      <c r="G169" s="338"/>
      <c r="H169" s="338"/>
      <c r="I169" s="247"/>
      <c r="J169" s="337"/>
      <c r="K169" s="337"/>
      <c r="L169" s="337"/>
      <c r="M169" s="337"/>
      <c r="N169" s="337"/>
      <c r="O169" s="337"/>
      <c r="P169" s="337"/>
      <c r="Q169" s="337"/>
      <c r="R169" s="337"/>
      <c r="S169" s="224"/>
      <c r="T169" s="344"/>
      <c r="U169" s="323"/>
      <c r="V169" s="323"/>
    </row>
    <row r="182" spans="77:77">
      <c r="BY182" s="350" t="s">
        <v>104</v>
      </c>
    </row>
  </sheetData>
  <mergeCells count="1081">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B158:C158"/>
    <mergeCell ref="D158:F158"/>
    <mergeCell ref="I158:J158"/>
    <mergeCell ref="K158:L158"/>
    <mergeCell ref="M158:O158"/>
    <mergeCell ref="P158:R158"/>
    <mergeCell ref="B159:C159"/>
    <mergeCell ref="I159:J159"/>
    <mergeCell ref="K159:L159"/>
    <mergeCell ref="M159:O159"/>
    <mergeCell ref="P159:R159"/>
    <mergeCell ref="B160:C160"/>
    <mergeCell ref="I160:J160"/>
    <mergeCell ref="K160:L160"/>
    <mergeCell ref="M160:O160"/>
    <mergeCell ref="P160:R160"/>
    <mergeCell ref="B161:C161"/>
    <mergeCell ref="D161:F161"/>
    <mergeCell ref="I161:J161"/>
    <mergeCell ref="K161:L161"/>
    <mergeCell ref="M161:O161"/>
    <mergeCell ref="P161:R161"/>
    <mergeCell ref="B162:C162"/>
    <mergeCell ref="I162:J162"/>
    <mergeCell ref="K162:L162"/>
    <mergeCell ref="M162:O162"/>
    <mergeCell ref="P162:R162"/>
    <mergeCell ref="B163:C163"/>
    <mergeCell ref="I163:J163"/>
    <mergeCell ref="K163:L163"/>
    <mergeCell ref="M163:O163"/>
    <mergeCell ref="P163:R163"/>
    <mergeCell ref="B164:C164"/>
    <mergeCell ref="D164:F164"/>
    <mergeCell ref="I164:J164"/>
    <mergeCell ref="K164:L164"/>
    <mergeCell ref="M164:O164"/>
    <mergeCell ref="P164:R164"/>
    <mergeCell ref="B165:C165"/>
    <mergeCell ref="I165:J165"/>
    <mergeCell ref="K165:L165"/>
    <mergeCell ref="M165:O165"/>
    <mergeCell ref="P165:R165"/>
    <mergeCell ref="B166:C166"/>
    <mergeCell ref="I166:J166"/>
    <mergeCell ref="K166:L166"/>
    <mergeCell ref="M166:O166"/>
    <mergeCell ref="P166:R166"/>
    <mergeCell ref="B167:C167"/>
    <mergeCell ref="D167:F167"/>
    <mergeCell ref="I167:J167"/>
    <mergeCell ref="K167:L167"/>
    <mergeCell ref="M167:O167"/>
    <mergeCell ref="P167:R167"/>
    <mergeCell ref="B168:C168"/>
    <mergeCell ref="I168:J168"/>
    <mergeCell ref="K168:L168"/>
    <mergeCell ref="M168:O168"/>
    <mergeCell ref="P168:R168"/>
    <mergeCell ref="B169:C169"/>
    <mergeCell ref="I169:J169"/>
    <mergeCell ref="K169:L169"/>
    <mergeCell ref="M169:O169"/>
    <mergeCell ref="P169:R169"/>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T158:T160"/>
    <mergeCell ref="T161:T163"/>
    <mergeCell ref="T164:T166"/>
    <mergeCell ref="T167:T169"/>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U158:U160"/>
    <mergeCell ref="U161:U163"/>
    <mergeCell ref="U164:U166"/>
    <mergeCell ref="U167:U169"/>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V158:V160"/>
    <mergeCell ref="V161:V163"/>
    <mergeCell ref="V164:V166"/>
    <mergeCell ref="V167:V169"/>
    <mergeCell ref="D21:F22"/>
    <mergeCell ref="D24:F25"/>
    <mergeCell ref="D27:F28"/>
    <mergeCell ref="D30:F31"/>
    <mergeCell ref="D33:F34"/>
    <mergeCell ref="D108:F109"/>
    <mergeCell ref="D111:F112"/>
    <mergeCell ref="D114:F115"/>
    <mergeCell ref="D117:F118"/>
    <mergeCell ref="D120:F121"/>
    <mergeCell ref="D87:F88"/>
    <mergeCell ref="D90:F91"/>
    <mergeCell ref="D93:F94"/>
    <mergeCell ref="D96:F97"/>
    <mergeCell ref="D99:F100"/>
    <mergeCell ref="D123:F124"/>
    <mergeCell ref="D126:F127"/>
    <mergeCell ref="D129:F130"/>
    <mergeCell ref="D132:F133"/>
    <mergeCell ref="D135:F136"/>
    <mergeCell ref="D138:F139"/>
    <mergeCell ref="D105:F106"/>
    <mergeCell ref="D141:F142"/>
    <mergeCell ref="D144:F145"/>
    <mergeCell ref="D147:F148"/>
    <mergeCell ref="D150:F151"/>
    <mergeCell ref="D153:F154"/>
    <mergeCell ref="D156:F157"/>
    <mergeCell ref="D48:F49"/>
    <mergeCell ref="D51:F52"/>
    <mergeCell ref="D54:F55"/>
    <mergeCell ref="D57:F58"/>
    <mergeCell ref="D60:F61"/>
    <mergeCell ref="D63:F64"/>
    <mergeCell ref="D66:F67"/>
    <mergeCell ref="D102:F103"/>
    <mergeCell ref="D69:F70"/>
    <mergeCell ref="D72:F73"/>
    <mergeCell ref="D75:F76"/>
    <mergeCell ref="D78:F79"/>
    <mergeCell ref="D81:F82"/>
    <mergeCell ref="D84:F85"/>
    <mergeCell ref="D159:F160"/>
    <mergeCell ref="D162:F163"/>
    <mergeCell ref="D165:F166"/>
    <mergeCell ref="D168:F169"/>
    <mergeCell ref="D36:F37"/>
    <mergeCell ref="D39:F40"/>
    <mergeCell ref="D42:F43"/>
    <mergeCell ref="D45:F46"/>
  </mergeCells>
  <hyperlinks>
    <hyperlink ref="U16" r:id="rId2" tooltip="https://e-service.shciq.gov.cn/shesp/"/>
    <hyperlink ref="U15" r:id="rId2" tooltip="https://e-service.shciq.gov.cn/shesp/"/>
    <hyperlink ref="W15" r:id="rId2" display="https://e-service.shciq.gov.cn/shesp/" tooltip="https://e-service.shciq.gov.cn/shesp/"/>
    <hyperlink ref="W16" r:id="rId3" display="http://www.hscode.net/IntegrateQueries/QueryYS/"/>
  </hyperlinks>
  <pageMargins left="0.16" right="0.04" top="0.16" bottom="0.08" header="0.08" footer="0.12"/>
  <pageSetup paperSize="9" scale="88" fitToHeight="0" orientation="landscape"/>
  <headerFooter alignWithMargins="0" scaleWithDoc="0"/>
  <rowBreaks count="3" manualBreakCount="3">
    <brk id="85" max="18" man="1"/>
    <brk id="127" max="18" man="1"/>
    <brk id="169" max="18"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37"/>
  <sheetViews>
    <sheetView showZeros="0" view="pageBreakPreview" zoomScaleNormal="100" workbookViewId="0">
      <selection activeCell="H11" sqref="H11"/>
    </sheetView>
  </sheetViews>
  <sheetFormatPr defaultColWidth="9" defaultRowHeight="14.2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9">
      <c r="A1" s="34" t="s">
        <v>105</v>
      </c>
      <c r="B1" s="34"/>
      <c r="C1" s="34"/>
      <c r="D1" s="34"/>
      <c r="E1" s="34"/>
      <c r="F1" s="34"/>
      <c r="G1" s="34"/>
      <c r="H1" s="34"/>
    </row>
    <row r="2" ht="26.1" customHeight="1" spans="1:9">
      <c r="A2" s="35"/>
      <c r="B2" s="35"/>
      <c r="C2" s="35"/>
      <c r="D2" s="35"/>
      <c r="E2" s="35"/>
      <c r="F2" s="37" t="s">
        <v>106</v>
      </c>
      <c r="G2" s="353" t="str">
        <f>报关单!A10</f>
        <v>2608300077</v>
      </c>
      <c r="H2" s="168"/>
    </row>
    <row r="3" ht="34.15" customHeight="1" spans="1:9">
      <c r="A3" s="125" t="s">
        <v>107</v>
      </c>
      <c r="B3" s="125"/>
      <c r="C3" s="132" t="str">
        <f>报关单!A6</f>
        <v>Jiakewen Trading Limited</v>
      </c>
      <c r="D3" s="132"/>
      <c r="E3" s="113"/>
      <c r="F3" s="169" t="s">
        <v>108</v>
      </c>
      <c r="G3" s="170">
        <f>报关单!K4-1</f>
        <v>46265</v>
      </c>
      <c r="H3" s="171"/>
    </row>
    <row r="4" ht="15.75" customHeight="1" spans="1:9">
      <c r="A4" s="172"/>
      <c r="B4" s="173"/>
      <c r="C4" s="108"/>
      <c r="D4" s="108"/>
      <c r="E4" s="113"/>
      <c r="F4" s="108"/>
      <c r="G4" s="108"/>
      <c r="H4" s="108"/>
    </row>
    <row r="5" ht="6" customHeight="1" spans="1:9">
      <c r="A5" s="113"/>
      <c r="B5" s="108"/>
      <c r="C5" s="108"/>
      <c r="D5" s="113"/>
      <c r="E5" s="113"/>
      <c r="F5" s="113"/>
      <c r="G5" s="113"/>
      <c r="H5" s="113"/>
    </row>
    <row r="6" ht="18" customHeight="1" spans="1:9">
      <c r="A6" s="113"/>
      <c r="B6" s="108"/>
      <c r="C6" s="108"/>
      <c r="D6" s="113"/>
      <c r="E6" s="113"/>
      <c r="F6" s="174" t="s">
        <v>109</v>
      </c>
      <c r="G6" s="113" t="str">
        <f>报关单!V4</f>
        <v>C&amp;F</v>
      </c>
      <c r="H6" s="113" t="str">
        <f>报关单!W4</f>
        <v>ZHENGZHOU</v>
      </c>
    </row>
    <row r="7" ht="30" customHeight="1" spans="1:9">
      <c r="A7" s="148" t="s">
        <v>110</v>
      </c>
      <c r="B7" s="175"/>
      <c r="C7" s="148" t="s">
        <v>111</v>
      </c>
      <c r="D7" s="148" t="s">
        <v>112</v>
      </c>
      <c r="E7" s="148"/>
      <c r="F7" s="148" t="s">
        <v>113</v>
      </c>
      <c r="G7" s="148" t="s">
        <v>114</v>
      </c>
      <c r="H7" s="148"/>
    </row>
    <row r="8" ht="30" customHeight="1" spans="1:9">
      <c r="A8" s="176" t="s">
        <v>115</v>
      </c>
      <c r="B8" s="177"/>
      <c r="C8" s="178">
        <f ca="1">OFFSET(报关单!$D$1,ROW(报关单!D1)*3+16,0)</f>
        <v>0</v>
      </c>
      <c r="D8" s="178">
        <f ca="1">OFFSET(报关单!$G$1,ROW(报关单!G1)*3+18,0)</f>
        <v>0</v>
      </c>
      <c r="E8" s="179">
        <f ca="1">OFFSET(报关单!$H$1,ROW(报关单!H1)*3+18,0)</f>
        <v>0</v>
      </c>
      <c r="F8" s="180">
        <f ca="1">IFERROR(H8/D8,0)</f>
        <v>0</v>
      </c>
      <c r="G8" s="181">
        <f ca="1">OFFSET(报关单!$I$1,ROW(报关单!I1)*3+18,0)</f>
        <v>0</v>
      </c>
      <c r="H8" s="180">
        <f ca="1">OFFSET(报关单!$I$1,ROW(报关单!I1)*3+17,0)</f>
        <v>0</v>
      </c>
      <c r="I8" s="182"/>
    </row>
    <row r="9" ht="30" customHeight="1" spans="1:9">
      <c r="A9" s="176"/>
      <c r="B9" s="177"/>
      <c r="C9" s="178">
        <f ca="1">OFFSET(报关单!$D$1,ROW(报关单!D2)*3+16,0)</f>
        <v>0</v>
      </c>
      <c r="D9" s="178">
        <f ca="1">OFFSET(报关单!$G$1,ROW(报关单!G2)*3+18,0)</f>
        <v>0</v>
      </c>
      <c r="E9" s="179">
        <f ca="1">OFFSET(报关单!$H$1,ROW(报关单!H2)*3+18,0)</f>
        <v>0</v>
      </c>
      <c r="F9" s="180">
        <f ca="1" t="shared" ref="F9:F23" si="0">IFERROR(H9/D9,0)</f>
        <v>0</v>
      </c>
      <c r="G9" s="181">
        <f ca="1">OFFSET(报关单!$I$1,ROW(报关单!I2)*3+18,0)</f>
        <v>0</v>
      </c>
      <c r="H9" s="180">
        <f ca="1">OFFSET(报关单!$I$1,ROW(报关单!I2)*3+17,0)</f>
        <v>0</v>
      </c>
    </row>
    <row r="10" ht="30" customHeight="1" spans="1:9">
      <c r="A10" s="176"/>
      <c r="B10" s="177"/>
      <c r="C10" s="178">
        <f ca="1">OFFSET(报关单!$D$1,ROW(报关单!D3)*3+16,0)</f>
        <v>0</v>
      </c>
      <c r="D10" s="178">
        <f ca="1">OFFSET(报关单!$G$1,ROW(报关单!G3)*3+18,0)</f>
        <v>0</v>
      </c>
      <c r="E10" s="179">
        <f ca="1">OFFSET(报关单!$H$1,ROW(报关单!H3)*3+18,0)</f>
        <v>0</v>
      </c>
      <c r="F10" s="180">
        <f ca="1" t="shared" si="0"/>
        <v>0</v>
      </c>
      <c r="G10" s="181">
        <f ca="1">OFFSET(报关单!$I$1,ROW(报关单!I3)*3+18,0)</f>
        <v>0</v>
      </c>
      <c r="H10" s="180">
        <f ca="1">OFFSET(报关单!$I$1,ROW(报关单!I3)*3+17,0)</f>
        <v>0</v>
      </c>
    </row>
    <row r="11" ht="30" customHeight="1" spans="1:9">
      <c r="A11" s="176"/>
      <c r="B11" s="177"/>
      <c r="C11" s="178">
        <f ca="1">OFFSET(报关单!$D$1,ROW(报关单!D4)*3+16,0)</f>
        <v>0</v>
      </c>
      <c r="D11" s="178">
        <f ca="1">OFFSET(报关单!$G$1,ROW(报关单!G4)*3+18,0)</f>
        <v>0</v>
      </c>
      <c r="E11" s="179">
        <f ca="1">OFFSET(报关单!$H$1,ROW(报关单!H4)*3+18,0)</f>
        <v>0</v>
      </c>
      <c r="F11" s="180">
        <f ca="1" t="shared" si="0"/>
        <v>0</v>
      </c>
      <c r="G11" s="181">
        <f ca="1">OFFSET(报关单!$I$1,ROW(报关单!I4)*3+18,0)</f>
        <v>0</v>
      </c>
      <c r="H11" s="180">
        <f ca="1">OFFSET(报关单!$I$1,ROW(报关单!I4)*3+17,0)</f>
        <v>0</v>
      </c>
    </row>
    <row r="12" ht="30" customHeight="1" spans="1:9">
      <c r="A12" s="176"/>
      <c r="B12" s="177"/>
      <c r="C12" s="178">
        <f ca="1">OFFSET(报关单!$D$1,ROW(报关单!D5)*3+16,0)</f>
        <v>0</v>
      </c>
      <c r="D12" s="178">
        <f ca="1">OFFSET(报关单!$G$1,ROW(报关单!G5)*3+18,0)</f>
        <v>0</v>
      </c>
      <c r="E12" s="179">
        <f ca="1">OFFSET(报关单!$H$1,ROW(报关单!H5)*3+18,0)</f>
        <v>0</v>
      </c>
      <c r="F12" s="180">
        <f ca="1" t="shared" si="0"/>
        <v>0</v>
      </c>
      <c r="G12" s="181">
        <f ca="1">OFFSET(报关单!$I$1,ROW(报关单!I5)*3+18,0)</f>
        <v>0</v>
      </c>
      <c r="H12" s="180">
        <f ca="1">OFFSET(报关单!$I$1,ROW(报关单!I5)*3+17,0)</f>
        <v>0</v>
      </c>
    </row>
    <row r="13" ht="30" customHeight="1" spans="1:9">
      <c r="A13" s="176"/>
      <c r="B13" s="177"/>
      <c r="C13" s="178">
        <f ca="1">OFFSET(报关单!$D$1,ROW(报关单!D6)*3+16,0)</f>
        <v>0</v>
      </c>
      <c r="D13" s="178">
        <f ca="1">OFFSET(报关单!$G$1,ROW(报关单!G6)*3+18,0)</f>
        <v>0</v>
      </c>
      <c r="E13" s="179">
        <f ca="1">OFFSET(报关单!$H$1,ROW(报关单!H6)*3+18,0)</f>
        <v>0</v>
      </c>
      <c r="F13" s="180">
        <f ca="1" t="shared" si="0"/>
        <v>0</v>
      </c>
      <c r="G13" s="181">
        <f ca="1">OFFSET(报关单!$I$1,ROW(报关单!I6)*3+18,0)</f>
        <v>0</v>
      </c>
      <c r="H13" s="180">
        <f ca="1">OFFSET(报关单!$I$1,ROW(报关单!I6)*3+17,0)</f>
        <v>0</v>
      </c>
    </row>
    <row r="14" ht="30" customHeight="1" spans="1:9">
      <c r="A14" s="176"/>
      <c r="B14" s="177"/>
      <c r="C14" s="178">
        <f ca="1">OFFSET(报关单!$D$1,ROW(报关单!D7)*3+16,0)</f>
        <v>0</v>
      </c>
      <c r="D14" s="178">
        <f ca="1">OFFSET(报关单!$G$1,ROW(报关单!G7)*3+18,0)</f>
        <v>0</v>
      </c>
      <c r="E14" s="179">
        <f ca="1">OFFSET(报关单!$H$1,ROW(报关单!H7)*3+18,0)</f>
        <v>0</v>
      </c>
      <c r="F14" s="180">
        <f ca="1" t="shared" si="0"/>
        <v>0</v>
      </c>
      <c r="G14" s="181">
        <f ca="1">OFFSET(报关单!$I$1,ROW(报关单!I7)*3+18,0)</f>
        <v>0</v>
      </c>
      <c r="H14" s="180">
        <f ca="1">OFFSET(报关单!$I$1,ROW(报关单!I7)*3+17,0)</f>
        <v>0</v>
      </c>
    </row>
    <row r="15" ht="30" customHeight="1" spans="1:9">
      <c r="A15" s="176"/>
      <c r="B15" s="177"/>
      <c r="C15" s="178">
        <f ca="1">OFFSET(报关单!$D$1,ROW(报关单!D8)*3+16,0)</f>
        <v>0</v>
      </c>
      <c r="D15" s="178">
        <f ca="1">OFFSET(报关单!$G$1,ROW(报关单!G8)*3+18,0)</f>
        <v>0</v>
      </c>
      <c r="E15" s="179">
        <f ca="1">OFFSET(报关单!$H$1,ROW(报关单!H8)*3+18,0)</f>
        <v>0</v>
      </c>
      <c r="F15" s="180">
        <f ca="1" t="shared" si="0"/>
        <v>0</v>
      </c>
      <c r="G15" s="181">
        <f ca="1">OFFSET(报关单!$I$1,ROW(报关单!I8)*3+18,0)</f>
        <v>0</v>
      </c>
      <c r="H15" s="180">
        <f ca="1">OFFSET(报关单!$I$1,ROW(报关单!I8)*3+17,0)</f>
        <v>0</v>
      </c>
    </row>
    <row r="16" ht="30" customHeight="1" spans="1:9">
      <c r="A16" s="176"/>
      <c r="B16" s="177"/>
      <c r="C16" s="178">
        <f ca="1">OFFSET(报关单!$D$1,ROW(报关单!D9)*3+16,0)</f>
        <v>0</v>
      </c>
      <c r="D16" s="178">
        <f ca="1">OFFSET(报关单!$G$1,ROW(报关单!G9)*3+18,0)</f>
        <v>0</v>
      </c>
      <c r="E16" s="179">
        <f ca="1">OFFSET(报关单!$H$1,ROW(报关单!H9)*3+18,0)</f>
        <v>0</v>
      </c>
      <c r="F16" s="180">
        <f ca="1" t="shared" si="0"/>
        <v>0</v>
      </c>
      <c r="G16" s="181">
        <f ca="1">OFFSET(报关单!$I$1,ROW(报关单!I9)*3+18,0)</f>
        <v>0</v>
      </c>
      <c r="H16" s="180">
        <f ca="1">OFFSET(报关单!$I$1,ROW(报关单!I9)*3+17,0)</f>
        <v>0</v>
      </c>
    </row>
    <row r="17" ht="30" customHeight="1" spans="1:8">
      <c r="A17" s="176"/>
      <c r="B17" s="177"/>
      <c r="C17" s="178">
        <f ca="1">OFFSET(报关单!$D$1,ROW(报关单!D10)*3+16,0)</f>
        <v>0</v>
      </c>
      <c r="D17" s="178">
        <f ca="1">OFFSET(报关单!$G$1,ROW(报关单!G10)*3+18,0)</f>
        <v>0</v>
      </c>
      <c r="E17" s="179">
        <f ca="1">OFFSET(报关单!$H$1,ROW(报关单!H10)*3+18,0)</f>
        <v>0</v>
      </c>
      <c r="F17" s="180">
        <f ca="1" t="shared" si="0"/>
        <v>0</v>
      </c>
      <c r="G17" s="181">
        <f ca="1">OFFSET(报关单!$I$1,ROW(报关单!I10)*3+18,0)</f>
        <v>0</v>
      </c>
      <c r="H17" s="180">
        <f ca="1">OFFSET(报关单!$I$1,ROW(报关单!I10)*3+17,0)</f>
        <v>0</v>
      </c>
    </row>
    <row r="18" ht="30" customHeight="1" spans="1:8">
      <c r="A18" s="176"/>
      <c r="B18" s="177"/>
      <c r="C18" s="178">
        <f ca="1">OFFSET(报关单!$D$1,ROW(报关单!D11)*3+16,0)</f>
        <v>0</v>
      </c>
      <c r="D18" s="178">
        <f ca="1">OFFSET(报关单!$G$1,ROW(报关单!G11)*3+18,0)</f>
        <v>0</v>
      </c>
      <c r="E18" s="179">
        <f ca="1">OFFSET(报关单!$H$1,ROW(报关单!H11)*3+18,0)</f>
        <v>0</v>
      </c>
      <c r="F18" s="180">
        <f ca="1" t="shared" si="0"/>
        <v>0</v>
      </c>
      <c r="G18" s="181">
        <f ca="1">OFFSET(报关单!$I$1,ROW(报关单!I11)*3+18,0)</f>
        <v>0</v>
      </c>
      <c r="H18" s="180">
        <f ca="1">OFFSET(报关单!$I$1,ROW(报关单!I11)*3+17,0)</f>
        <v>0</v>
      </c>
    </row>
    <row r="19" ht="30" customHeight="1" spans="1:8">
      <c r="A19" s="176"/>
      <c r="B19" s="177"/>
      <c r="C19" s="178">
        <f ca="1">OFFSET(报关单!$D$1,ROW(报关单!D12)*3+16,0)</f>
        <v>0</v>
      </c>
      <c r="D19" s="178">
        <f ca="1">OFFSET(报关单!$G$1,ROW(报关单!G12)*3+18,0)</f>
        <v>0</v>
      </c>
      <c r="E19" s="179">
        <f ca="1">OFFSET(报关单!$H$1,ROW(报关单!H12)*3+18,0)</f>
        <v>0</v>
      </c>
      <c r="F19" s="180">
        <f ca="1" t="shared" si="0"/>
        <v>0</v>
      </c>
      <c r="G19" s="181">
        <f ca="1">OFFSET(报关单!$I$1,ROW(报关单!I12)*3+18,0)</f>
        <v>0</v>
      </c>
      <c r="H19" s="180">
        <f ca="1">OFFSET(报关单!$I$1,ROW(报关单!I12)*3+17,0)</f>
        <v>0</v>
      </c>
    </row>
    <row r="20" ht="30" customHeight="1" spans="1:8">
      <c r="A20" s="176"/>
      <c r="B20" s="177"/>
      <c r="C20" s="178">
        <f ca="1">OFFSET(报关单!$D$1,ROW(报关单!D13)*3+16,0)</f>
        <v>0</v>
      </c>
      <c r="D20" s="178">
        <f ca="1">OFFSET(报关单!$G$1,ROW(报关单!G13)*3+18,0)</f>
        <v>0</v>
      </c>
      <c r="E20" s="179">
        <f ca="1">OFFSET(报关单!$H$1,ROW(报关单!H13)*3+18,0)</f>
        <v>0</v>
      </c>
      <c r="F20" s="180">
        <f ca="1" t="shared" si="0"/>
        <v>0</v>
      </c>
      <c r="G20" s="181">
        <f ca="1">OFFSET(报关单!$I$1,ROW(报关单!I13)*3+18,0)</f>
        <v>0</v>
      </c>
      <c r="H20" s="180">
        <f ca="1">OFFSET(报关单!$I$1,ROW(报关单!I13)*3+17,0)</f>
        <v>0</v>
      </c>
    </row>
    <row r="21" ht="30" customHeight="1" spans="1:8">
      <c r="A21" s="176"/>
      <c r="B21" s="177"/>
      <c r="C21" s="178">
        <f ca="1">OFFSET(报关单!$D$1,ROW(报关单!D14)*3+16,0)</f>
        <v>0</v>
      </c>
      <c r="D21" s="178">
        <f ca="1">OFFSET(报关单!$G$1,ROW(报关单!G14)*3+18,0)</f>
        <v>0</v>
      </c>
      <c r="E21" s="179">
        <f ca="1">OFFSET(报关单!$H$1,ROW(报关单!H14)*3+18,0)</f>
        <v>0</v>
      </c>
      <c r="F21" s="180">
        <f ca="1" t="shared" si="0"/>
        <v>0</v>
      </c>
      <c r="G21" s="181">
        <f ca="1">OFFSET(报关单!$I$1,ROW(报关单!I14)*3+18,0)</f>
        <v>0</v>
      </c>
      <c r="H21" s="180">
        <f ca="1">OFFSET(报关单!$I$1,ROW(报关单!I14)*3+17,0)</f>
        <v>0</v>
      </c>
    </row>
    <row r="22" ht="30" customHeight="1" spans="1:8">
      <c r="A22" s="176"/>
      <c r="B22" s="177"/>
      <c r="C22" s="178">
        <f ca="1">OFFSET(报关单!$D$1,ROW(报关单!D15)*3+16,0)</f>
        <v>0</v>
      </c>
      <c r="D22" s="178">
        <f ca="1">OFFSET(报关单!$G$1,ROW(报关单!G15)*3+18,0)</f>
        <v>0</v>
      </c>
      <c r="E22" s="179">
        <f ca="1">OFFSET(报关单!$H$1,ROW(报关单!H15)*3+18,0)</f>
        <v>0</v>
      </c>
      <c r="F22" s="180">
        <f ca="1" t="shared" si="0"/>
        <v>0</v>
      </c>
      <c r="G22" s="181">
        <f ca="1">OFFSET(报关单!$I$1,ROW(报关单!I15)*3+18,0)</f>
        <v>0</v>
      </c>
      <c r="H22" s="180">
        <f ca="1">OFFSET(报关单!$I$1,ROW(报关单!I15)*3+17,0)</f>
        <v>0</v>
      </c>
    </row>
    <row r="23" ht="30" customHeight="1" spans="1:8">
      <c r="A23" s="183"/>
      <c r="B23" s="177"/>
      <c r="C23" s="178">
        <f ca="1">OFFSET(报关单!$D$1,ROW(报关单!D16)*3+16,0)</f>
        <v>0</v>
      </c>
      <c r="D23" s="178">
        <f ca="1">OFFSET(报关单!$G$1,ROW(报关单!G16)*3+18,0)</f>
        <v>0</v>
      </c>
      <c r="E23" s="179">
        <f ca="1">OFFSET(报关单!$H$1,ROW(报关单!H16)*3+18,0)</f>
        <v>0</v>
      </c>
      <c r="F23" s="180">
        <f ca="1" t="shared" si="0"/>
        <v>0</v>
      </c>
      <c r="G23" s="181">
        <f ca="1">OFFSET(报关单!$I$1,ROW(报关单!I16)*3+18,0)</f>
        <v>0</v>
      </c>
      <c r="H23" s="180">
        <f ca="1">OFFSET(报关单!$I$1,ROW(报关单!I16)*3+17,0)</f>
        <v>0</v>
      </c>
    </row>
    <row r="24" ht="25.5" customHeight="1" spans="1:8">
      <c r="A24" s="184" t="str">
        <f ca="1">IF(G24="CNY","总计人民币:",IF(G24="USD","总计美元: ","  "))</f>
        <v>  </v>
      </c>
      <c r="B24" s="184"/>
      <c r="C24" s="185">
        <f ca="1">H24</f>
        <v>0</v>
      </c>
      <c r="D24" s="185"/>
      <c r="E24" s="185"/>
      <c r="F24" s="186" t="s">
        <v>116</v>
      </c>
      <c r="G24" s="187">
        <f ca="1">G8</f>
        <v>0</v>
      </c>
      <c r="H24" s="188">
        <f ca="1">SUM(H8:H23)</f>
        <v>0</v>
      </c>
    </row>
    <row r="25" spans="1:8">
      <c r="A25" s="189" t="s">
        <v>117</v>
      </c>
      <c r="B25" s="190"/>
      <c r="C25" s="191"/>
      <c r="D25" s="112"/>
      <c r="E25" s="112"/>
      <c r="F25" s="192" t="s">
        <v>77</v>
      </c>
      <c r="G25" s="192"/>
      <c r="H25" s="192"/>
    </row>
    <row r="26" spans="1:8">
      <c r="A26" s="190"/>
      <c r="B26" s="190"/>
      <c r="C26" s="191"/>
      <c r="D26" s="112"/>
      <c r="E26" s="112"/>
      <c r="F26" s="192"/>
      <c r="G26" s="192"/>
      <c r="H26" s="192"/>
    </row>
    <row r="27" ht="19.15" customHeight="1" spans="1:8">
      <c r="A27" s="190"/>
      <c r="B27" s="190"/>
      <c r="C27" s="112"/>
      <c r="D27" s="112"/>
      <c r="E27" s="112"/>
      <c r="F27" s="112"/>
      <c r="G27" s="112"/>
      <c r="H27" s="112"/>
    </row>
    <row r="28" spans="1:8">
      <c r="A28" s="193"/>
      <c r="B28" s="113"/>
      <c r="C28" s="113"/>
      <c r="D28" s="113"/>
      <c r="E28" s="113"/>
      <c r="F28" s="113"/>
      <c r="G28" s="113"/>
      <c r="H28" s="113"/>
    </row>
    <row r="29" spans="1:8">
      <c r="A29" s="193"/>
      <c r="B29" s="113"/>
      <c r="C29" s="113"/>
      <c r="D29" s="113"/>
      <c r="E29" s="113"/>
      <c r="F29" s="113"/>
      <c r="G29" s="113"/>
      <c r="H29" s="113"/>
    </row>
    <row r="30" spans="1:8">
      <c r="A30" s="193"/>
      <c r="B30" s="113"/>
      <c r="C30" s="113"/>
      <c r="D30" s="113"/>
      <c r="E30" s="113"/>
      <c r="F30" s="113"/>
      <c r="G30" s="113"/>
      <c r="H30" s="113"/>
    </row>
    <row r="31" spans="1:8">
      <c r="A31" s="193"/>
      <c r="B31" s="193"/>
      <c r="C31" s="193" t="s">
        <v>118</v>
      </c>
      <c r="D31" s="193"/>
      <c r="E31" s="193"/>
      <c r="F31" s="193"/>
      <c r="G31" s="193"/>
      <c r="H31" s="193"/>
    </row>
    <row r="32" spans="1:8">
      <c r="A32" s="193"/>
      <c r="B32" s="193"/>
      <c r="C32" s="193"/>
      <c r="D32" s="193"/>
      <c r="E32" s="193"/>
      <c r="F32" s="193"/>
      <c r="G32" s="193"/>
      <c r="H32" s="193"/>
    </row>
    <row r="33" spans="1:8">
      <c r="A33" s="193"/>
      <c r="B33" s="193"/>
      <c r="C33" s="193"/>
      <c r="D33" s="193"/>
      <c r="E33" s="193"/>
      <c r="F33" s="193"/>
      <c r="G33" s="193"/>
      <c r="H33" s="193"/>
    </row>
    <row r="37" ht="3.75" customHeight="1"/>
  </sheetData>
  <mergeCells count="17">
    <mergeCell ref="A1:H1"/>
    <mergeCell ref="G2:H2"/>
    <mergeCell ref="A3:B3"/>
    <mergeCell ref="C3:D3"/>
    <mergeCell ref="G3:H3"/>
    <mergeCell ref="C4:D4"/>
    <mergeCell ref="F4:H4"/>
    <mergeCell ref="B5:C5"/>
    <mergeCell ref="A7:B7"/>
    <mergeCell ref="D7:E7"/>
    <mergeCell ref="G7:H7"/>
    <mergeCell ref="A24:B24"/>
    <mergeCell ref="C24:E24"/>
    <mergeCell ref="C25:C26"/>
    <mergeCell ref="A8:B23"/>
    <mergeCell ref="A25:B27"/>
    <mergeCell ref="F25:H26"/>
  </mergeCells>
  <pageMargins left="0.31" right="0.2" top="0.35" bottom="0.24" header="0.24" footer="0.08"/>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39"/>
  <sheetViews>
    <sheetView showZeros="0" view="pageBreakPreview" zoomScaleNormal="100" workbookViewId="0">
      <selection activeCell="B5" sqref="B5:E5"/>
    </sheetView>
  </sheetViews>
  <sheetFormatPr defaultColWidth="9" defaultRowHeight="15.75"/>
  <cols>
    <col min="1" max="1" width="11.5" style="33" customWidth="1"/>
    <col min="2" max="2" width="23" style="33" customWidth="1"/>
    <col min="3" max="3" width="15.5" style="33" customWidth="1"/>
    <col min="4" max="4" width="8.625" style="53" customWidth="1"/>
    <col min="5" max="5" width="4.125" style="121" customWidth="1"/>
    <col min="6" max="6" width="13.5" style="33" customWidth="1"/>
    <col min="7" max="7" width="18.125" style="33" customWidth="1"/>
    <col min="8" max="16384" width="9" style="33"/>
  </cols>
  <sheetData>
    <row r="1" ht="13.15" customHeight="1"/>
    <row r="2" ht="19.15" customHeight="1" spans="1:9">
      <c r="B2" s="122" t="s">
        <v>119</v>
      </c>
      <c r="C2" s="122"/>
      <c r="D2" s="122"/>
      <c r="E2" s="123"/>
    </row>
    <row r="3" ht="33" customHeight="1" spans="1:9">
      <c r="A3" s="124"/>
      <c r="B3" s="122"/>
      <c r="C3" s="122"/>
      <c r="D3" s="122"/>
      <c r="E3" s="123"/>
      <c r="F3" s="125" t="s">
        <v>120</v>
      </c>
      <c r="G3" s="126">
        <f>报关单!K4-1</f>
        <v>46265</v>
      </c>
    </row>
    <row r="4" ht="30" customHeight="1" spans="1:9">
      <c r="A4" s="107"/>
      <c r="B4" s="127"/>
      <c r="C4" s="128"/>
      <c r="D4" s="54"/>
      <c r="E4" s="129"/>
      <c r="F4" s="130" t="s">
        <v>121</v>
      </c>
      <c r="G4" s="354" t="str">
        <f>发票!G2</f>
        <v>2608300077</v>
      </c>
    </row>
    <row r="5" ht="29.25" customHeight="1" spans="1:9">
      <c r="A5" s="125" t="s">
        <v>122</v>
      </c>
      <c r="B5" s="132" t="str">
        <f>发票!C3</f>
        <v>Jiakewen Trading Limited</v>
      </c>
      <c r="C5" s="132"/>
      <c r="D5" s="132"/>
      <c r="E5" s="132"/>
      <c r="F5" s="130" t="s">
        <v>123</v>
      </c>
      <c r="G5" s="355" t="str">
        <f>发票!G2</f>
        <v>2608300077</v>
      </c>
    </row>
    <row r="6" ht="11.1" customHeight="1" spans="1:9">
      <c r="A6" s="134"/>
      <c r="B6" s="135"/>
      <c r="C6" s="135" t="s">
        <v>124</v>
      </c>
      <c r="D6" s="136"/>
      <c r="E6" s="137"/>
      <c r="F6" s="138"/>
      <c r="G6" s="139"/>
      <c r="I6" s="53"/>
    </row>
    <row r="7" ht="31.5" spans="1:9">
      <c r="A7" s="140" t="s">
        <v>125</v>
      </c>
      <c r="B7" s="141"/>
      <c r="C7" s="142" t="s">
        <v>126</v>
      </c>
      <c r="D7" s="136" t="str">
        <f>报关单!M20</f>
        <v>美国</v>
      </c>
      <c r="E7" s="117"/>
      <c r="F7" s="143" t="s">
        <v>127</v>
      </c>
      <c r="G7" s="144" t="str">
        <f>报关单!Y4</f>
        <v>电汇</v>
      </c>
      <c r="H7" s="32"/>
    </row>
    <row r="8" ht="4.15" customHeight="1" spans="1:9">
      <c r="A8" s="140"/>
      <c r="B8" s="145"/>
      <c r="C8" s="142"/>
      <c r="D8" s="136"/>
      <c r="E8" s="117"/>
      <c r="F8" s="143"/>
      <c r="G8" s="146"/>
      <c r="H8" s="32"/>
    </row>
    <row r="9" s="32" customFormat="1" ht="30" customHeight="1" spans="1:9">
      <c r="A9" s="147" t="s">
        <v>128</v>
      </c>
      <c r="B9" s="148" t="s">
        <v>129</v>
      </c>
      <c r="C9" s="149" t="s">
        <v>130</v>
      </c>
      <c r="D9" s="148" t="s">
        <v>131</v>
      </c>
      <c r="E9" s="150"/>
      <c r="F9" s="151" t="s">
        <v>132</v>
      </c>
      <c r="G9" s="148" t="s">
        <v>133</v>
      </c>
    </row>
    <row r="10" s="119" customFormat="1" ht="30" customHeight="1" spans="1:9">
      <c r="A10" s="152" t="str">
        <f>发票!A8</f>
        <v>
N/M</v>
      </c>
      <c r="B10" s="153">
        <f ca="1">发票!C8</f>
        <v>0</v>
      </c>
      <c r="C10" s="154">
        <f ca="1">OFFSET(报关单!$V$1,ROW(报关单!V1)*3+16,0)</f>
        <v>0</v>
      </c>
      <c r="D10" s="155">
        <f ca="1">发票!D8</f>
        <v>0</v>
      </c>
      <c r="E10" s="156">
        <f ca="1">发票!E8</f>
        <v>0</v>
      </c>
      <c r="F10" s="157">
        <f ca="1">OFFSET(报关单!$U$1,ROW(报关单!U1)*3+16,0)</f>
        <v>0</v>
      </c>
      <c r="G10" s="154">
        <f ca="1">OFFSET(报关单!$T$1,ROW(报关单!T1)*3+16,0)</f>
        <v>0</v>
      </c>
      <c r="H10" s="158"/>
    </row>
    <row r="11" s="119" customFormat="1" ht="30" customHeight="1" spans="1:9">
      <c r="A11" s="152"/>
      <c r="B11" s="153">
        <f ca="1">发票!C9</f>
        <v>0</v>
      </c>
      <c r="C11" s="154">
        <f ca="1">OFFSET(报关单!$V$1,ROW(报关单!V2)*3+16,0)</f>
        <v>0</v>
      </c>
      <c r="D11" s="155">
        <f ca="1">发票!D9</f>
        <v>0</v>
      </c>
      <c r="E11" s="156">
        <f ca="1">发票!E9</f>
        <v>0</v>
      </c>
      <c r="F11" s="157">
        <f ca="1">OFFSET(报关单!$U$1,ROW(报关单!U2)*3+16,0)</f>
        <v>0</v>
      </c>
      <c r="G11" s="154">
        <f ca="1">OFFSET(报关单!$T$1,ROW(报关单!T2)*3+16,0)</f>
        <v>0</v>
      </c>
      <c r="H11" s="158"/>
    </row>
    <row r="12" s="119" customFormat="1" ht="30" customHeight="1" spans="1:9">
      <c r="A12" s="152"/>
      <c r="B12" s="153">
        <f ca="1">发票!C10</f>
        <v>0</v>
      </c>
      <c r="C12" s="154">
        <f ca="1">OFFSET(报关单!$V$1,ROW(报关单!V3)*3+16,0)</f>
        <v>0</v>
      </c>
      <c r="D12" s="155">
        <f ca="1">发票!D10</f>
        <v>0</v>
      </c>
      <c r="E12" s="156">
        <f ca="1">发票!E10</f>
        <v>0</v>
      </c>
      <c r="F12" s="157">
        <f ca="1">OFFSET(报关单!$U$1,ROW(报关单!U3)*3+16,0)</f>
        <v>0</v>
      </c>
      <c r="G12" s="154">
        <f ca="1">OFFSET(报关单!$T$1,ROW(报关单!T3)*3+16,0)</f>
        <v>0</v>
      </c>
      <c r="H12" s="158"/>
    </row>
    <row r="13" s="119" customFormat="1" ht="30" customHeight="1" spans="1:9">
      <c r="A13" s="152"/>
      <c r="B13" s="153">
        <f ca="1">发票!C11</f>
        <v>0</v>
      </c>
      <c r="C13" s="154">
        <f ca="1">OFFSET(报关单!$V$1,ROW(报关单!V4)*3+16,0)</f>
        <v>0</v>
      </c>
      <c r="D13" s="155">
        <f ca="1">发票!D11</f>
        <v>0</v>
      </c>
      <c r="E13" s="156">
        <f ca="1">发票!E11</f>
        <v>0</v>
      </c>
      <c r="F13" s="157">
        <f ca="1">OFFSET(报关单!$U$1,ROW(报关单!U4)*3+16,0)</f>
        <v>0</v>
      </c>
      <c r="G13" s="154">
        <f ca="1">OFFSET(报关单!$T$1,ROW(报关单!T4)*3+16,0)</f>
        <v>0</v>
      </c>
      <c r="H13" s="158"/>
    </row>
    <row r="14" s="119" customFormat="1" ht="30" customHeight="1" spans="1:9">
      <c r="A14" s="152"/>
      <c r="B14" s="153">
        <f ca="1">发票!C12</f>
        <v>0</v>
      </c>
      <c r="C14" s="154">
        <f ca="1">OFFSET(报关单!$V$1,ROW(报关单!V5)*3+16,0)</f>
        <v>0</v>
      </c>
      <c r="D14" s="155">
        <f ca="1">发票!D12</f>
        <v>0</v>
      </c>
      <c r="E14" s="156">
        <f ca="1">发票!E12</f>
        <v>0</v>
      </c>
      <c r="F14" s="157">
        <f ca="1">OFFSET(报关单!$U$1,ROW(报关单!U5)*3+16,0)</f>
        <v>0</v>
      </c>
      <c r="G14" s="154">
        <f ca="1">OFFSET(报关单!$T$1,ROW(报关单!T5)*3+16,0)</f>
        <v>0</v>
      </c>
      <c r="H14" s="158"/>
    </row>
    <row r="15" s="119" customFormat="1" ht="30" customHeight="1" spans="1:9">
      <c r="A15" s="152"/>
      <c r="B15" s="153">
        <f ca="1">发票!C13</f>
        <v>0</v>
      </c>
      <c r="C15" s="154">
        <f ca="1">OFFSET(报关单!$V$1,ROW(报关单!V6)*3+16,0)</f>
        <v>0</v>
      </c>
      <c r="D15" s="155">
        <f ca="1">发票!D13</f>
        <v>0</v>
      </c>
      <c r="E15" s="156">
        <f ca="1">发票!E13</f>
        <v>0</v>
      </c>
      <c r="F15" s="157">
        <f ca="1">OFFSET(报关单!$U$1,ROW(报关单!U6)*3+16,0)</f>
        <v>0</v>
      </c>
      <c r="G15" s="154">
        <f ca="1">OFFSET(报关单!$T$1,ROW(报关单!T6)*3+16,0)</f>
        <v>0</v>
      </c>
      <c r="H15" s="158"/>
    </row>
    <row r="16" s="119" customFormat="1" ht="30" customHeight="1" spans="1:9">
      <c r="A16" s="152"/>
      <c r="B16" s="153">
        <f ca="1">发票!C14</f>
        <v>0</v>
      </c>
      <c r="C16" s="154">
        <f ca="1">OFFSET(报关单!$V$1,ROW(报关单!V7)*3+16,0)</f>
        <v>0</v>
      </c>
      <c r="D16" s="155">
        <f ca="1">发票!D14</f>
        <v>0</v>
      </c>
      <c r="E16" s="156">
        <f ca="1">发票!E14</f>
        <v>0</v>
      </c>
      <c r="F16" s="157">
        <f ca="1">OFFSET(报关单!$U$1,ROW(报关单!U7)*3+16,0)</f>
        <v>0</v>
      </c>
      <c r="G16" s="154">
        <f ca="1">OFFSET(报关单!$T$1,ROW(报关单!T7)*3+16,0)</f>
        <v>0</v>
      </c>
      <c r="H16" s="158"/>
    </row>
    <row r="17" s="119" customFormat="1" ht="30" customHeight="1" spans="1:8">
      <c r="A17" s="152"/>
      <c r="B17" s="153">
        <f ca="1">发票!C15</f>
        <v>0</v>
      </c>
      <c r="C17" s="154">
        <f ca="1">OFFSET(报关单!$V$1,ROW(报关单!V8)*3+16,0)</f>
        <v>0</v>
      </c>
      <c r="D17" s="155">
        <f ca="1">发票!D15</f>
        <v>0</v>
      </c>
      <c r="E17" s="156">
        <f ca="1">发票!E15</f>
        <v>0</v>
      </c>
      <c r="F17" s="157">
        <f ca="1">OFFSET(报关单!$U$1,ROW(报关单!U8)*3+16,0)</f>
        <v>0</v>
      </c>
      <c r="G17" s="154">
        <f ca="1">OFFSET(报关单!$T$1,ROW(报关单!T8)*3+16,0)</f>
        <v>0</v>
      </c>
      <c r="H17" s="158"/>
    </row>
    <row r="18" s="119" customFormat="1" ht="30" customHeight="1" spans="1:8">
      <c r="A18" s="152"/>
      <c r="B18" s="153">
        <f ca="1">发票!C16</f>
        <v>0</v>
      </c>
      <c r="C18" s="154">
        <f ca="1">OFFSET(报关单!$V$1,ROW(报关单!V9)*3+16,0)</f>
        <v>0</v>
      </c>
      <c r="D18" s="155">
        <f ca="1">发票!D16</f>
        <v>0</v>
      </c>
      <c r="E18" s="156">
        <f ca="1">发票!E16</f>
        <v>0</v>
      </c>
      <c r="F18" s="157">
        <f ca="1">OFFSET(报关单!$U$1,ROW(报关单!U9)*3+16,0)</f>
        <v>0</v>
      </c>
      <c r="G18" s="154">
        <f ca="1">OFFSET(报关单!$T$1,ROW(报关单!T9)*3+16,0)</f>
        <v>0</v>
      </c>
      <c r="H18" s="158"/>
    </row>
    <row r="19" s="119" customFormat="1" ht="30" customHeight="1" spans="1:8">
      <c r="A19" s="152"/>
      <c r="B19" s="153">
        <f ca="1">发票!C17</f>
        <v>0</v>
      </c>
      <c r="C19" s="154">
        <f ca="1">OFFSET(报关单!$V$1,ROW(报关单!V10)*3+16,0)</f>
        <v>0</v>
      </c>
      <c r="D19" s="155">
        <f ca="1">发票!D17</f>
        <v>0</v>
      </c>
      <c r="E19" s="156">
        <f ca="1">发票!E17</f>
        <v>0</v>
      </c>
      <c r="F19" s="157">
        <f ca="1">OFFSET(报关单!$U$1,ROW(报关单!U10)*3+16,0)</f>
        <v>0</v>
      </c>
      <c r="G19" s="154">
        <f ca="1">OFFSET(报关单!$T$1,ROW(报关单!T10)*3+16,0)</f>
        <v>0</v>
      </c>
      <c r="H19" s="158"/>
    </row>
    <row r="20" s="119" customFormat="1" ht="30" customHeight="1" spans="1:8">
      <c r="A20" s="152"/>
      <c r="B20" s="153">
        <f ca="1">发票!C18</f>
        <v>0</v>
      </c>
      <c r="C20" s="154">
        <f ca="1">OFFSET(报关单!$V$1,ROW(报关单!V11)*3+16,0)</f>
        <v>0</v>
      </c>
      <c r="D20" s="155">
        <f ca="1">发票!D18</f>
        <v>0</v>
      </c>
      <c r="E20" s="156">
        <f ca="1">发票!E18</f>
        <v>0</v>
      </c>
      <c r="F20" s="157">
        <f ca="1">OFFSET(报关单!$U$1,ROW(报关单!U11)*3+16,0)</f>
        <v>0</v>
      </c>
      <c r="G20" s="154">
        <f ca="1">OFFSET(报关单!$T$1,ROW(报关单!T11)*3+16,0)</f>
        <v>0</v>
      </c>
      <c r="H20" s="158"/>
    </row>
    <row r="21" s="119" customFormat="1" ht="30" customHeight="1" spans="1:8">
      <c r="A21" s="152"/>
      <c r="B21" s="153">
        <f ca="1">发票!C19</f>
        <v>0</v>
      </c>
      <c r="C21" s="154">
        <f ca="1">OFFSET(报关单!$V$1,ROW(报关单!V12)*3+16,0)</f>
        <v>0</v>
      </c>
      <c r="D21" s="155">
        <f ca="1">发票!D19</f>
        <v>0</v>
      </c>
      <c r="E21" s="156">
        <f ca="1">发票!E19</f>
        <v>0</v>
      </c>
      <c r="F21" s="157">
        <f ca="1">OFFSET(报关单!$U$1,ROW(报关单!U12)*3+16,0)</f>
        <v>0</v>
      </c>
      <c r="G21" s="154">
        <f ca="1">OFFSET(报关单!$T$1,ROW(报关单!T12)*3+16,0)</f>
        <v>0</v>
      </c>
      <c r="H21" s="158"/>
    </row>
    <row r="22" s="119" customFormat="1" ht="30" customHeight="1" spans="1:8">
      <c r="A22" s="152"/>
      <c r="B22" s="153">
        <f ca="1">发票!C20</f>
        <v>0</v>
      </c>
      <c r="C22" s="154">
        <f ca="1">OFFSET(报关单!$V$1,ROW(报关单!V13)*3+16,0)</f>
        <v>0</v>
      </c>
      <c r="D22" s="155">
        <f ca="1">发票!D20</f>
        <v>0</v>
      </c>
      <c r="E22" s="156">
        <f ca="1">发票!E20</f>
        <v>0</v>
      </c>
      <c r="F22" s="157">
        <f ca="1">OFFSET(报关单!$U$1,ROW(报关单!T13)*3+16,0)</f>
        <v>0</v>
      </c>
      <c r="G22" s="154">
        <f ca="1">OFFSET(报关单!$T$1,ROW(报关单!T13)*3+16,0)</f>
        <v>0</v>
      </c>
      <c r="H22" s="158"/>
    </row>
    <row r="23" s="119" customFormat="1" ht="30" customHeight="1" spans="1:8">
      <c r="A23" s="152"/>
      <c r="B23" s="153">
        <f ca="1">发票!C21</f>
        <v>0</v>
      </c>
      <c r="C23" s="154">
        <f ca="1">OFFSET(报关单!$V$1,ROW(报关单!V14)*3+16,0)</f>
        <v>0</v>
      </c>
      <c r="D23" s="155">
        <f ca="1">发票!D21</f>
        <v>0</v>
      </c>
      <c r="E23" s="156">
        <f ca="1">发票!E21</f>
        <v>0</v>
      </c>
      <c r="F23" s="157">
        <f ca="1">OFFSET(报关单!$U$1,ROW(报关单!T14)*3+16,0)</f>
        <v>0</v>
      </c>
      <c r="G23" s="154">
        <f ca="1">OFFSET(报关单!$T$1,ROW(报关单!T14)*3+16,0)</f>
        <v>0</v>
      </c>
      <c r="H23" s="158"/>
    </row>
    <row r="24" s="119" customFormat="1" ht="30" customHeight="1" spans="1:8">
      <c r="A24" s="152"/>
      <c r="B24" s="153">
        <f ca="1">发票!C22</f>
        <v>0</v>
      </c>
      <c r="C24" s="154">
        <f ca="1">OFFSET(报关单!$V$1,ROW(报关单!T15)*3+16,0)</f>
        <v>0</v>
      </c>
      <c r="D24" s="155">
        <f ca="1">发票!D22</f>
        <v>0</v>
      </c>
      <c r="E24" s="156">
        <f ca="1">发票!E22</f>
        <v>0</v>
      </c>
      <c r="F24" s="157"/>
      <c r="G24" s="154"/>
      <c r="H24" s="158"/>
    </row>
    <row r="25" ht="30" customHeight="1" spans="1:8">
      <c r="A25" s="159"/>
      <c r="B25" s="153">
        <f ca="1">发票!C23</f>
        <v>0</v>
      </c>
      <c r="C25" s="154">
        <f ca="1">OFFSET(报关单!$V$1,ROW(报关单!T16)*3+16,0)</f>
        <v>0</v>
      </c>
      <c r="D25" s="155">
        <f ca="1">发票!D23</f>
        <v>0</v>
      </c>
      <c r="E25" s="156">
        <f ca="1">发票!E23</f>
        <v>0</v>
      </c>
      <c r="F25" s="160"/>
      <c r="G25" s="154"/>
      <c r="H25" s="32"/>
    </row>
    <row r="26" s="32" customFormat="1" ht="29.1" customHeight="1" spans="1:8">
      <c r="A26" s="161" t="s">
        <v>134</v>
      </c>
      <c r="B26" s="162"/>
      <c r="C26" s="163">
        <f ca="1">SUM(C10:C25)</f>
        <v>0</v>
      </c>
      <c r="D26" s="164"/>
      <c r="E26" s="165"/>
      <c r="F26" s="166">
        <f ca="1">SUM(F10:F25)</f>
        <v>0</v>
      </c>
      <c r="G26" s="163">
        <f ca="1">SUM(G10:G25)</f>
        <v>0</v>
      </c>
    </row>
    <row r="27" ht="19.15" customHeight="1" spans="1:8">
      <c r="A27" s="167" t="s">
        <v>117</v>
      </c>
      <c r="B27" s="117"/>
      <c r="C27" s="117"/>
      <c r="D27" s="116"/>
      <c r="E27" s="117"/>
      <c r="F27" s="117"/>
      <c r="G27" s="117"/>
      <c r="H27" s="32"/>
    </row>
    <row r="28" ht="19.15" customHeight="1" spans="1:8">
      <c r="A28" s="167"/>
      <c r="B28" s="117"/>
      <c r="C28" s="117"/>
      <c r="D28" s="116"/>
      <c r="E28" s="117"/>
      <c r="F28" s="117"/>
      <c r="G28" s="117"/>
      <c r="H28" s="32"/>
    </row>
    <row r="29" spans="1:8">
      <c r="A29" s="119"/>
      <c r="B29" s="119"/>
      <c r="C29" s="119"/>
      <c r="D29" s="116"/>
      <c r="E29" s="118"/>
      <c r="F29" s="119"/>
      <c r="G29" s="119"/>
      <c r="H29" s="32"/>
    </row>
    <row r="30" spans="1:8">
      <c r="A30" s="119"/>
      <c r="B30" s="119"/>
      <c r="C30" s="119"/>
      <c r="D30" s="39"/>
      <c r="E30" s="118"/>
      <c r="F30" s="119"/>
      <c r="G30" s="119"/>
      <c r="H30" s="32"/>
    </row>
    <row r="31" spans="1:8">
      <c r="A31" s="119"/>
      <c r="B31" s="119"/>
      <c r="C31" s="119"/>
      <c r="D31" s="39"/>
      <c r="E31" s="118"/>
      <c r="F31" s="119"/>
      <c r="G31" s="119"/>
      <c r="H31" s="32"/>
    </row>
    <row r="32" spans="1:8">
      <c r="A32" s="119"/>
      <c r="B32" s="119"/>
      <c r="C32" s="119"/>
      <c r="D32" s="39"/>
      <c r="E32" s="118"/>
      <c r="F32" s="119"/>
      <c r="G32" s="119"/>
    </row>
    <row r="33" spans="1:7">
      <c r="A33" s="119"/>
      <c r="B33" s="119"/>
      <c r="C33" s="119"/>
      <c r="D33" s="39"/>
      <c r="E33" s="118"/>
      <c r="F33" s="119"/>
      <c r="G33" s="119"/>
    </row>
    <row r="34" spans="1:7">
      <c r="A34" s="119"/>
      <c r="B34" s="119"/>
      <c r="C34" s="119"/>
      <c r="D34" s="39"/>
      <c r="E34" s="118"/>
      <c r="F34" s="119"/>
      <c r="G34" s="119"/>
    </row>
    <row r="35" spans="1:7">
      <c r="A35" s="119"/>
      <c r="B35" s="119"/>
      <c r="C35" s="119"/>
      <c r="D35" s="39"/>
      <c r="E35" s="118"/>
      <c r="F35" s="119"/>
      <c r="G35" s="119"/>
    </row>
    <row r="36" spans="1:7">
      <c r="A36" s="119"/>
      <c r="B36" s="119"/>
      <c r="C36" s="119"/>
      <c r="D36" s="39"/>
      <c r="E36" s="118"/>
      <c r="F36" s="119"/>
      <c r="G36" s="119"/>
    </row>
    <row r="37" spans="1:7">
      <c r="A37" s="119"/>
      <c r="B37" s="119"/>
      <c r="C37" s="119"/>
      <c r="D37" s="39"/>
      <c r="E37" s="118"/>
      <c r="F37" s="119"/>
      <c r="G37" s="119"/>
    </row>
    <row r="38" spans="1:7">
      <c r="A38" s="119"/>
      <c r="B38" s="119"/>
      <c r="C38" s="119"/>
      <c r="D38" s="39"/>
      <c r="E38" s="118"/>
      <c r="F38" s="119"/>
      <c r="G38" s="119"/>
    </row>
    <row r="39" spans="1:7">
      <c r="A39" s="119"/>
      <c r="B39" s="119"/>
      <c r="C39" s="119"/>
      <c r="D39" s="39"/>
      <c r="E39" s="118"/>
      <c r="F39" s="119"/>
      <c r="G39" s="119"/>
    </row>
  </sheetData>
  <mergeCells count="8">
    <mergeCell ref="B5:E5"/>
    <mergeCell ref="D6:E6"/>
    <mergeCell ref="D7:E7"/>
    <mergeCell ref="D9:E9"/>
    <mergeCell ref="A10:A25"/>
    <mergeCell ref="A27:A28"/>
    <mergeCell ref="B2:E3"/>
    <mergeCell ref="B27:G28"/>
  </mergeCells>
  <pageMargins left="0.2" right="0.16" top="0.24" bottom="0.2" header="0.2" footer="0.08"/>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J62"/>
  <sheetViews>
    <sheetView showZeros="0" view="pageBreakPreview" zoomScaleNormal="100" workbookViewId="0">
      <selection activeCell="F34" sqref="F34"/>
    </sheetView>
  </sheetViews>
  <sheetFormatPr defaultColWidth="9" defaultRowHeight="15.75"/>
  <cols>
    <col min="1" max="1" width="3.5" customWidth="1"/>
    <col min="2" max="2" width="16.5" style="33" customWidth="1"/>
    <col min="3" max="3" width="14.25" style="33" customWidth="1"/>
    <col min="4" max="4" width="12.5" style="33" customWidth="1"/>
    <col min="5" max="5" width="14" style="33" customWidth="1"/>
    <col min="6" max="6" width="12.875" style="33" customWidth="1"/>
    <col min="7" max="7" width="5.875" style="33" customWidth="1"/>
    <col min="8" max="8" width="12.75" style="33" customWidth="1"/>
    <col min="9" max="9" width="1.5" style="33" customWidth="1"/>
    <col min="10" max="10" width="6.25" style="33" customWidth="1"/>
    <col min="11" max="16384" width="9" style="33"/>
  </cols>
  <sheetData>
    <row r="1" ht="57" customHeight="1" spans="2:10">
      <c r="B1" s="34" t="s">
        <v>135</v>
      </c>
      <c r="C1" s="35"/>
      <c r="D1" s="35"/>
      <c r="E1" s="35"/>
      <c r="F1" s="35"/>
      <c r="G1" s="35"/>
      <c r="H1" s="35"/>
      <c r="I1" s="35"/>
    </row>
    <row r="2" ht="12" customHeight="1" spans="2:10">
      <c r="B2" s="36" t="s">
        <v>136</v>
      </c>
      <c r="C2" s="37" t="str">
        <f>报关单!V5</f>
        <v>郑州嘉可文贸易有限公司</v>
      </c>
      <c r="D2" s="37"/>
      <c r="E2" s="37"/>
      <c r="F2" s="38"/>
      <c r="G2" s="36"/>
      <c r="H2" s="39"/>
      <c r="I2" s="39"/>
    </row>
    <row r="3" ht="10.15" customHeight="1" spans="2:10">
      <c r="B3" s="40" t="s">
        <v>137</v>
      </c>
      <c r="C3" s="41"/>
      <c r="D3" s="41"/>
      <c r="E3" s="41"/>
      <c r="F3" s="42"/>
      <c r="G3" s="43"/>
      <c r="H3" s="43"/>
      <c r="I3" s="43"/>
    </row>
    <row r="4" ht="18" customHeight="1" spans="2:10">
      <c r="B4" s="44" t="s">
        <v>138</v>
      </c>
      <c r="C4" s="45" t="str">
        <f>报关单!V6</f>
        <v>河南省郑州市高新技术产业开发区冬青街26号3号楼2层9号237-1</v>
      </c>
      <c r="D4" s="46"/>
      <c r="E4" s="46"/>
      <c r="F4" s="47"/>
      <c r="G4" s="48"/>
      <c r="H4" s="39"/>
      <c r="I4" s="39"/>
    </row>
    <row r="5" ht="15" customHeight="1" spans="2:10">
      <c r="B5" s="44" t="s">
        <v>139</v>
      </c>
      <c r="C5" s="49"/>
      <c r="D5" s="49"/>
      <c r="E5" s="49"/>
      <c r="F5" s="38" t="s">
        <v>140</v>
      </c>
      <c r="G5" s="36"/>
      <c r="H5" s="39"/>
      <c r="I5" s="39"/>
    </row>
    <row r="6" ht="13.15" customHeight="1" spans="2:10">
      <c r="B6" s="44" t="s">
        <v>141</v>
      </c>
      <c r="C6" s="50"/>
      <c r="D6" s="51" t="s">
        <v>142</v>
      </c>
      <c r="E6" s="50"/>
      <c r="F6" s="42" t="s">
        <v>143</v>
      </c>
      <c r="G6" s="356" t="str">
        <f>报关单!A10</f>
        <v>2608300077</v>
      </c>
      <c r="H6" s="52"/>
      <c r="I6" s="52"/>
      <c r="J6" s="53"/>
    </row>
    <row r="7" ht="13.15" customHeight="1" spans="2:10">
      <c r="B7" s="54" t="s">
        <v>144</v>
      </c>
      <c r="C7" s="55"/>
      <c r="D7" s="56" t="s">
        <v>145</v>
      </c>
      <c r="E7" s="55"/>
      <c r="F7" s="42" t="s">
        <v>146</v>
      </c>
      <c r="G7" s="44"/>
      <c r="H7" s="39"/>
      <c r="I7" s="39"/>
    </row>
    <row r="8" ht="11.1" customHeight="1" spans="2:10">
      <c r="B8" s="57" t="s">
        <v>147</v>
      </c>
      <c r="C8" s="58" t="str">
        <f>报关单!V8</f>
        <v>Jiakewen Trading Limited</v>
      </c>
      <c r="D8" s="58"/>
      <c r="E8" s="58"/>
      <c r="F8" s="42" t="s">
        <v>148</v>
      </c>
      <c r="G8" s="59">
        <f>报关单!K4-25</f>
        <v>46241</v>
      </c>
      <c r="H8" s="59"/>
      <c r="I8" s="59"/>
    </row>
    <row r="9" ht="13.5" customHeight="1" spans="2:10">
      <c r="B9" s="36" t="s">
        <v>149</v>
      </c>
      <c r="C9" s="60"/>
      <c r="D9" s="60"/>
      <c r="E9" s="60"/>
      <c r="F9" s="61" t="s">
        <v>150</v>
      </c>
      <c r="G9" s="62"/>
      <c r="H9" s="44"/>
      <c r="I9" s="44"/>
    </row>
    <row r="10" ht="16.5" customHeight="1" spans="2:10">
      <c r="B10" s="36" t="s">
        <v>151</v>
      </c>
      <c r="C10" s="45" t="str">
        <f>报关单!V9</f>
        <v>香港尖沙咀科學館道 14 號新文華中心 B 座 7 
樓 701 室 108B 單位</v>
      </c>
      <c r="D10" s="58"/>
      <c r="E10" s="58"/>
      <c r="F10" s="42" t="s">
        <v>152</v>
      </c>
      <c r="G10" s="63" t="str">
        <f>报关单!V3</f>
        <v>XX</v>
      </c>
      <c r="H10" s="43"/>
      <c r="I10" s="43"/>
    </row>
    <row r="11" ht="22.5" customHeight="1" spans="2:10">
      <c r="B11" s="36" t="s">
        <v>153</v>
      </c>
      <c r="C11" s="60"/>
      <c r="D11" s="60"/>
      <c r="E11" s="60"/>
      <c r="F11" s="64" t="s">
        <v>154</v>
      </c>
      <c r="G11" s="65" t="str">
        <f>报关单!V4</f>
        <v>C&amp;F</v>
      </c>
      <c r="H11" s="66" t="str">
        <f>报关单!W4</f>
        <v>ZHENGZHOU</v>
      </c>
      <c r="I11" s="66"/>
    </row>
    <row r="12" ht="10.15" customHeight="1" spans="2:10">
      <c r="B12" s="36" t="s">
        <v>155</v>
      </c>
      <c r="C12" s="67">
        <f>报关单!V10</f>
        <v>0</v>
      </c>
      <c r="D12" s="68" t="s">
        <v>156</v>
      </c>
      <c r="E12" s="67">
        <f>报关单!Y10</f>
        <v>0</v>
      </c>
      <c r="F12" s="69"/>
      <c r="G12" s="65"/>
      <c r="H12" s="66"/>
      <c r="I12" s="66"/>
    </row>
    <row r="13" ht="9" customHeight="1" spans="2:10">
      <c r="B13" s="54" t="s">
        <v>157</v>
      </c>
      <c r="C13" s="70"/>
      <c r="D13" s="54" t="s">
        <v>145</v>
      </c>
      <c r="E13" s="70"/>
      <c r="F13" s="71"/>
      <c r="G13" s="71"/>
      <c r="H13" s="39"/>
      <c r="I13" s="39"/>
    </row>
    <row r="14" ht="13.5" customHeight="1" spans="2:10">
      <c r="B14" s="72" t="s">
        <v>158</v>
      </c>
      <c r="C14" s="73"/>
      <c r="D14" s="71"/>
      <c r="E14" s="71"/>
      <c r="F14" s="71"/>
      <c r="G14" s="71"/>
      <c r="H14" s="39"/>
      <c r="I14" s="39"/>
    </row>
    <row r="15" ht="13.5" customHeight="1" spans="2:10">
      <c r="B15" s="74" t="s">
        <v>159</v>
      </c>
      <c r="C15" s="74"/>
      <c r="D15" s="74"/>
      <c r="E15" s="74"/>
      <c r="F15" s="74"/>
      <c r="G15" s="74"/>
      <c r="H15" s="74"/>
      <c r="I15" s="74"/>
    </row>
    <row r="16" s="32" customFormat="1" customHeight="1" spans="2:10">
      <c r="B16" s="75" t="s">
        <v>160</v>
      </c>
      <c r="C16" s="76"/>
      <c r="D16" s="77" t="s">
        <v>161</v>
      </c>
      <c r="E16" s="77" t="s">
        <v>162</v>
      </c>
      <c r="F16" s="77" t="s">
        <v>163</v>
      </c>
      <c r="G16" s="75" t="s">
        <v>164</v>
      </c>
      <c r="H16" s="78"/>
      <c r="I16" s="76"/>
    </row>
    <row r="17" s="32" customFormat="1" ht="10.5" customHeight="1" spans="2:9">
      <c r="B17" s="79" t="s">
        <v>165</v>
      </c>
      <c r="C17" s="80"/>
      <c r="D17" s="81" t="s">
        <v>166</v>
      </c>
      <c r="E17" s="81" t="s">
        <v>167</v>
      </c>
      <c r="F17" s="81" t="s">
        <v>168</v>
      </c>
      <c r="G17" s="79" t="s">
        <v>169</v>
      </c>
      <c r="H17" s="70"/>
      <c r="I17" s="80"/>
    </row>
    <row r="18" s="32" customFormat="1" ht="12" customHeight="1" spans="2:9">
      <c r="B18" s="82">
        <f ca="1">发票!C8</f>
        <v>0</v>
      </c>
      <c r="C18" s="83"/>
      <c r="D18" s="84">
        <f ca="1">发票!D8</f>
        <v>0</v>
      </c>
      <c r="E18" s="85">
        <f ca="1">发票!E8</f>
        <v>0</v>
      </c>
      <c r="F18" s="86">
        <f ca="1">发票!F8</f>
        <v>0</v>
      </c>
      <c r="G18" s="87">
        <f ca="1">发票!G8</f>
        <v>0</v>
      </c>
      <c r="H18" s="88">
        <f ca="1">发票!H8</f>
        <v>0</v>
      </c>
      <c r="I18" s="89"/>
    </row>
    <row r="19" s="32" customFormat="1" ht="12" customHeight="1" spans="2:9">
      <c r="B19" s="82">
        <f ca="1">发票!C9</f>
        <v>0</v>
      </c>
      <c r="C19" s="83"/>
      <c r="D19" s="84">
        <f ca="1">发票!D9</f>
        <v>0</v>
      </c>
      <c r="E19" s="85">
        <f ca="1">发票!E9</f>
        <v>0</v>
      </c>
      <c r="F19" s="86">
        <f ca="1">发票!F9</f>
        <v>0</v>
      </c>
      <c r="G19" s="87">
        <f ca="1">发票!G9</f>
        <v>0</v>
      </c>
      <c r="H19" s="88">
        <f ca="1">发票!H9</f>
        <v>0</v>
      </c>
      <c r="I19" s="89"/>
    </row>
    <row r="20" s="32" customFormat="1" ht="12" customHeight="1" spans="2:9">
      <c r="B20" s="82">
        <f ca="1">发票!C10</f>
        <v>0</v>
      </c>
      <c r="C20" s="83"/>
      <c r="D20" s="84">
        <f ca="1">发票!D10</f>
        <v>0</v>
      </c>
      <c r="E20" s="85">
        <f ca="1">发票!E10</f>
        <v>0</v>
      </c>
      <c r="F20" s="86">
        <f ca="1">发票!F10</f>
        <v>0</v>
      </c>
      <c r="G20" s="87">
        <f ca="1">发票!G10</f>
        <v>0</v>
      </c>
      <c r="H20" s="88">
        <f ca="1">发票!H10</f>
        <v>0</v>
      </c>
      <c r="I20" s="89"/>
    </row>
    <row r="21" s="32" customFormat="1" ht="12" customHeight="1" spans="2:9">
      <c r="B21" s="82">
        <f ca="1">发票!C11</f>
        <v>0</v>
      </c>
      <c r="C21" s="83"/>
      <c r="D21" s="84">
        <f ca="1">发票!D11</f>
        <v>0</v>
      </c>
      <c r="E21" s="85">
        <f ca="1">发票!E11</f>
        <v>0</v>
      </c>
      <c r="F21" s="86">
        <f ca="1">发票!F11</f>
        <v>0</v>
      </c>
      <c r="G21" s="87">
        <f ca="1">发票!G11</f>
        <v>0</v>
      </c>
      <c r="H21" s="88">
        <f ca="1">发票!H11</f>
        <v>0</v>
      </c>
      <c r="I21" s="89"/>
    </row>
    <row r="22" s="32" customFormat="1" ht="12" customHeight="1" spans="2:9">
      <c r="B22" s="82">
        <f ca="1">发票!C12</f>
        <v>0</v>
      </c>
      <c r="C22" s="83"/>
      <c r="D22" s="84">
        <f ca="1">发票!D12</f>
        <v>0</v>
      </c>
      <c r="E22" s="85">
        <f ca="1">发票!E12</f>
        <v>0</v>
      </c>
      <c r="F22" s="86">
        <f ca="1">发票!F12</f>
        <v>0</v>
      </c>
      <c r="G22" s="87">
        <f ca="1">发票!G12</f>
        <v>0</v>
      </c>
      <c r="H22" s="88">
        <f ca="1">发票!H12</f>
        <v>0</v>
      </c>
      <c r="I22" s="89"/>
    </row>
    <row r="23" s="32" customFormat="1" ht="12" customHeight="1" spans="2:9">
      <c r="B23" s="82">
        <f ca="1">发票!C13</f>
        <v>0</v>
      </c>
      <c r="C23" s="83"/>
      <c r="D23" s="84">
        <f ca="1">发票!D13</f>
        <v>0</v>
      </c>
      <c r="E23" s="85">
        <f ca="1">发票!E13</f>
        <v>0</v>
      </c>
      <c r="F23" s="86">
        <f ca="1">发票!F13</f>
        <v>0</v>
      </c>
      <c r="G23" s="87">
        <f ca="1">发票!G13</f>
        <v>0</v>
      </c>
      <c r="H23" s="88">
        <f ca="1">发票!H13</f>
        <v>0</v>
      </c>
      <c r="I23" s="89"/>
    </row>
    <row r="24" s="32" customFormat="1" ht="12" customHeight="1" spans="2:9">
      <c r="B24" s="82">
        <f ca="1">发票!C14</f>
        <v>0</v>
      </c>
      <c r="C24" s="83"/>
      <c r="D24" s="84">
        <f ca="1">发票!D14</f>
        <v>0</v>
      </c>
      <c r="E24" s="85">
        <f ca="1">发票!E14</f>
        <v>0</v>
      </c>
      <c r="F24" s="86">
        <f ca="1">发票!F14</f>
        <v>0</v>
      </c>
      <c r="G24" s="87">
        <f ca="1">发票!G14</f>
        <v>0</v>
      </c>
      <c r="H24" s="88">
        <f ca="1">发票!H14</f>
        <v>0</v>
      </c>
      <c r="I24" s="89"/>
    </row>
    <row r="25" s="32" customFormat="1" ht="12" customHeight="1" spans="2:9">
      <c r="B25" s="82">
        <f ca="1">发票!C15</f>
        <v>0</v>
      </c>
      <c r="C25" s="83"/>
      <c r="D25" s="84">
        <f ca="1">发票!D15</f>
        <v>0</v>
      </c>
      <c r="E25" s="85">
        <f ca="1">发票!E15</f>
        <v>0</v>
      </c>
      <c r="F25" s="86">
        <f ca="1">发票!F15</f>
        <v>0</v>
      </c>
      <c r="G25" s="87">
        <f ca="1">发票!G15</f>
        <v>0</v>
      </c>
      <c r="H25" s="88">
        <f ca="1">发票!H15</f>
        <v>0</v>
      </c>
      <c r="I25" s="89"/>
    </row>
    <row r="26" s="32" customFormat="1" ht="12" customHeight="1" spans="2:9">
      <c r="B26" s="82">
        <f ca="1">发票!C16</f>
        <v>0</v>
      </c>
      <c r="C26" s="83"/>
      <c r="D26" s="84">
        <f ca="1">发票!D16</f>
        <v>0</v>
      </c>
      <c r="E26" s="85">
        <f ca="1">发票!E16</f>
        <v>0</v>
      </c>
      <c r="F26" s="86">
        <f ca="1">发票!F16</f>
        <v>0</v>
      </c>
      <c r="G26" s="87">
        <f ca="1">发票!G16</f>
        <v>0</v>
      </c>
      <c r="H26" s="88">
        <f ca="1">发票!H16</f>
        <v>0</v>
      </c>
      <c r="I26" s="89"/>
    </row>
    <row r="27" s="32" customFormat="1" ht="12" customHeight="1" spans="2:9">
      <c r="B27" s="82">
        <f ca="1">发票!C17</f>
        <v>0</v>
      </c>
      <c r="C27" s="83"/>
      <c r="D27" s="84">
        <f ca="1">发票!D17</f>
        <v>0</v>
      </c>
      <c r="E27" s="85">
        <f ca="1">发票!E17</f>
        <v>0</v>
      </c>
      <c r="F27" s="86">
        <f ca="1">发票!F17</f>
        <v>0</v>
      </c>
      <c r="G27" s="87">
        <f ca="1">发票!G17</f>
        <v>0</v>
      </c>
      <c r="H27" s="88">
        <f ca="1">发票!H17</f>
        <v>0</v>
      </c>
      <c r="I27" s="89"/>
    </row>
    <row r="28" s="32" customFormat="1" ht="12" customHeight="1" spans="2:9">
      <c r="B28" s="82">
        <f ca="1">发票!C18</f>
        <v>0</v>
      </c>
      <c r="C28" s="83"/>
      <c r="D28" s="84">
        <f ca="1">发票!D18</f>
        <v>0</v>
      </c>
      <c r="E28" s="85">
        <f ca="1">发票!E18</f>
        <v>0</v>
      </c>
      <c r="F28" s="86">
        <f ca="1">发票!F18</f>
        <v>0</v>
      </c>
      <c r="G28" s="87">
        <f ca="1">发票!G18</f>
        <v>0</v>
      </c>
      <c r="H28" s="88">
        <f ca="1">发票!H18</f>
        <v>0</v>
      </c>
      <c r="I28" s="89"/>
    </row>
    <row r="29" s="32" customFormat="1" ht="12" customHeight="1" spans="2:9">
      <c r="B29" s="82">
        <f ca="1">发票!C19</f>
        <v>0</v>
      </c>
      <c r="C29" s="83"/>
      <c r="D29" s="84">
        <f ca="1">发票!D19</f>
        <v>0</v>
      </c>
      <c r="E29" s="85">
        <f ca="1">发票!E19</f>
        <v>0</v>
      </c>
      <c r="F29" s="86">
        <f ca="1">发票!F19</f>
        <v>0</v>
      </c>
      <c r="G29" s="87">
        <f ca="1">发票!G19</f>
        <v>0</v>
      </c>
      <c r="H29" s="88">
        <f ca="1">发票!H19</f>
        <v>0</v>
      </c>
      <c r="I29" s="89"/>
    </row>
    <row r="30" s="32" customFormat="1" ht="12" customHeight="1" spans="2:9">
      <c r="B30" s="82">
        <f ca="1">发票!C20</f>
        <v>0</v>
      </c>
      <c r="C30" s="83"/>
      <c r="D30" s="84">
        <f ca="1">发票!D20</f>
        <v>0</v>
      </c>
      <c r="E30" s="85">
        <f ca="1">发票!E20</f>
        <v>0</v>
      </c>
      <c r="F30" s="86">
        <f ca="1">发票!F20</f>
        <v>0</v>
      </c>
      <c r="G30" s="87">
        <f ca="1">发票!G20</f>
        <v>0</v>
      </c>
      <c r="H30" s="88">
        <f ca="1">发票!H20</f>
        <v>0</v>
      </c>
      <c r="I30" s="89"/>
    </row>
    <row r="31" s="32" customFormat="1" ht="12" customHeight="1" spans="2:9">
      <c r="B31" s="82">
        <f ca="1">发票!C21</f>
        <v>0</v>
      </c>
      <c r="C31" s="83"/>
      <c r="D31" s="84">
        <f ca="1">发票!D21</f>
        <v>0</v>
      </c>
      <c r="E31" s="85">
        <f ca="1">发票!E21</f>
        <v>0</v>
      </c>
      <c r="F31" s="86">
        <f ca="1">发票!F21</f>
        <v>0</v>
      </c>
      <c r="G31" s="87">
        <f ca="1">发票!G21</f>
        <v>0</v>
      </c>
      <c r="H31" s="88">
        <f ca="1">发票!H21</f>
        <v>0</v>
      </c>
      <c r="I31" s="89"/>
    </row>
    <row r="32" s="32" customFormat="1" ht="12" customHeight="1" spans="2:9">
      <c r="B32" s="82">
        <f ca="1">发票!C22</f>
        <v>0</v>
      </c>
      <c r="C32" s="83"/>
      <c r="D32" s="84">
        <f ca="1">发票!D22</f>
        <v>0</v>
      </c>
      <c r="E32" s="85">
        <f ca="1">发票!E22</f>
        <v>0</v>
      </c>
      <c r="F32" s="86">
        <f ca="1">发票!F22</f>
        <v>0</v>
      </c>
      <c r="G32" s="87">
        <f ca="1">发票!G22</f>
        <v>0</v>
      </c>
      <c r="H32" s="88">
        <f ca="1">发票!H22</f>
        <v>0</v>
      </c>
      <c r="I32" s="89"/>
    </row>
    <row r="33" s="32" customFormat="1" ht="12" customHeight="1" spans="2:9">
      <c r="B33" s="82">
        <f ca="1">发票!C23</f>
        <v>0</v>
      </c>
      <c r="C33" s="83"/>
      <c r="D33" s="84">
        <f ca="1">发票!D23</f>
        <v>0</v>
      </c>
      <c r="E33" s="85">
        <f ca="1">发票!E23</f>
        <v>0</v>
      </c>
      <c r="F33" s="86">
        <f ca="1">发票!F23</f>
        <v>0</v>
      </c>
      <c r="G33" s="87">
        <f ca="1">发票!G23</f>
        <v>0</v>
      </c>
      <c r="H33" s="88">
        <f ca="1">发票!H23</f>
        <v>0</v>
      </c>
      <c r="I33" s="89"/>
    </row>
    <row r="34" s="32" customFormat="1" ht="12" customHeight="1" spans="2:9">
      <c r="B34" s="82"/>
      <c r="C34" s="83"/>
      <c r="D34" s="84"/>
      <c r="E34" s="85"/>
      <c r="F34" s="86"/>
      <c r="G34" s="87"/>
      <c r="H34" s="88"/>
      <c r="I34" s="89"/>
    </row>
    <row r="35" s="32" customFormat="1" ht="6" customHeight="1" spans="2:9">
      <c r="B35" s="90"/>
      <c r="C35" s="91"/>
      <c r="D35" s="92"/>
      <c r="E35" s="93"/>
      <c r="F35" s="94"/>
      <c r="G35" s="95"/>
      <c r="H35" s="96"/>
      <c r="I35" s="97"/>
    </row>
    <row r="36" ht="18" customHeight="1" spans="2:9">
      <c r="B36" s="72" t="s">
        <v>170</v>
      </c>
      <c r="C36" s="72"/>
      <c r="D36" s="71"/>
      <c r="E36" s="71"/>
      <c r="F36" s="98" t="s">
        <v>171</v>
      </c>
      <c r="G36" s="99">
        <f ca="1">G18</f>
        <v>0</v>
      </c>
      <c r="H36" s="100">
        <f ca="1">SUM(H18:I35)</f>
        <v>0</v>
      </c>
      <c r="I36" s="100"/>
    </row>
    <row r="37" ht="13.5" customHeight="1" spans="2:9">
      <c r="B37" s="101" t="s">
        <v>172</v>
      </c>
      <c r="C37" s="101"/>
      <c r="D37" s="101"/>
      <c r="E37" s="101"/>
      <c r="F37" s="102" t="s">
        <v>173</v>
      </c>
      <c r="G37" s="99"/>
      <c r="H37" s="100"/>
      <c r="I37" s="100"/>
    </row>
    <row r="38" customHeight="1" spans="2:9">
      <c r="B38" s="103" t="s">
        <v>174</v>
      </c>
      <c r="C38" s="104"/>
      <c r="D38" s="105" t="str">
        <f ca="1">IF(G36="CNY","总计人民币:",IF(G36="USD","总计美元: ","  "))</f>
        <v>  </v>
      </c>
      <c r="E38" s="106">
        <f ca="1">H36</f>
        <v>0</v>
      </c>
      <c r="F38" s="106"/>
      <c r="G38" s="106"/>
      <c r="H38" s="106"/>
      <c r="I38" s="106"/>
    </row>
    <row r="39" ht="23.25" customHeight="1" spans="2:9">
      <c r="B39" s="71"/>
      <c r="C39" s="71"/>
      <c r="D39" s="105"/>
      <c r="E39" s="106"/>
      <c r="F39" s="106"/>
      <c r="G39" s="106"/>
      <c r="H39" s="106"/>
      <c r="I39" s="106"/>
    </row>
    <row r="40" ht="13.5" customHeight="1" spans="2:9">
      <c r="B40" s="107" t="s">
        <v>175</v>
      </c>
      <c r="C40" s="108"/>
      <c r="D40" s="109"/>
      <c r="E40" s="110"/>
      <c r="F40" s="110"/>
      <c r="G40" s="110"/>
      <c r="H40" s="110"/>
      <c r="I40" s="110"/>
    </row>
    <row r="41" ht="12" customHeight="1" spans="2:9">
      <c r="B41" s="71" t="s">
        <v>176</v>
      </c>
      <c r="C41" s="71"/>
      <c r="D41" s="110"/>
      <c r="E41" s="110"/>
      <c r="F41" s="110"/>
      <c r="G41" s="110"/>
      <c r="H41" s="110"/>
      <c r="I41" s="110"/>
    </row>
    <row r="42" ht="13.5" customHeight="1" spans="2:9">
      <c r="B42" s="107" t="s">
        <v>177</v>
      </c>
      <c r="C42" s="107"/>
      <c r="D42" s="110"/>
      <c r="E42" s="110"/>
      <c r="F42" s="110"/>
      <c r="G42" s="110"/>
      <c r="H42" s="110"/>
      <c r="I42" s="110"/>
    </row>
    <row r="43" ht="14.25" customHeight="1" spans="2:9">
      <c r="B43" s="107" t="s">
        <v>178</v>
      </c>
      <c r="C43" s="111">
        <f ca="1">TODAY()+15</f>
        <v>46281</v>
      </c>
      <c r="D43" s="111"/>
      <c r="E43" s="112" t="s">
        <v>179</v>
      </c>
      <c r="F43" s="107"/>
      <c r="G43" s="107"/>
      <c r="H43" s="39"/>
      <c r="I43" s="39"/>
    </row>
    <row r="44" ht="13.5" customHeight="1" spans="2:9">
      <c r="B44" s="107" t="s">
        <v>180</v>
      </c>
      <c r="C44" s="107"/>
      <c r="D44" s="113" t="str">
        <f>箱单!D7</f>
        <v>美国</v>
      </c>
      <c r="E44" s="104" t="s">
        <v>181</v>
      </c>
      <c r="F44" s="107"/>
      <c r="G44" s="107"/>
      <c r="H44" s="39"/>
      <c r="I44" s="39"/>
    </row>
    <row r="45" customHeight="1" spans="2:9">
      <c r="B45" s="71" t="s">
        <v>182</v>
      </c>
      <c r="C45" s="107"/>
      <c r="D45" s="107"/>
      <c r="E45" s="107"/>
      <c r="F45" s="107"/>
      <c r="G45" s="107"/>
      <c r="H45" s="107"/>
      <c r="I45" s="107"/>
    </row>
    <row r="46" ht="13.5" customHeight="1" spans="2:9">
      <c r="B46" s="107" t="s">
        <v>183</v>
      </c>
      <c r="C46" s="107"/>
      <c r="D46" s="107"/>
      <c r="E46" s="107"/>
      <c r="F46" s="107"/>
      <c r="G46" s="71"/>
      <c r="H46" s="39"/>
      <c r="I46" s="39"/>
    </row>
    <row r="47" ht="12" customHeight="1" spans="2:9">
      <c r="B47" s="71" t="s">
        <v>184</v>
      </c>
      <c r="C47" s="107"/>
      <c r="D47" s="107"/>
      <c r="E47" s="107"/>
      <c r="F47" s="107"/>
      <c r="G47" s="114"/>
      <c r="H47" s="39"/>
      <c r="I47" s="39"/>
    </row>
    <row r="48" ht="13.5" customHeight="1" spans="2:9">
      <c r="B48" s="107" t="s">
        <v>185</v>
      </c>
      <c r="C48" s="112" t="str">
        <f>箱单!G7</f>
        <v>电汇</v>
      </c>
      <c r="D48" s="113"/>
      <c r="E48" s="107"/>
      <c r="F48" s="107"/>
      <c r="G48" s="115"/>
      <c r="H48" s="39"/>
      <c r="I48" s="39"/>
    </row>
    <row r="49" ht="12" customHeight="1" spans="2:9">
      <c r="B49" s="107" t="s">
        <v>186</v>
      </c>
      <c r="C49" s="107"/>
      <c r="D49" s="107"/>
      <c r="E49" s="107"/>
      <c r="F49" s="107"/>
      <c r="G49" s="115"/>
      <c r="H49" s="39"/>
      <c r="I49" s="39"/>
    </row>
    <row r="50" ht="13.5" customHeight="1" spans="2:9">
      <c r="B50" s="107" t="s">
        <v>187</v>
      </c>
      <c r="C50" s="116"/>
      <c r="D50" s="116"/>
      <c r="E50" s="116"/>
      <c r="F50" s="116"/>
      <c r="G50" s="116"/>
      <c r="H50" s="39"/>
      <c r="I50" s="39"/>
    </row>
    <row r="51" ht="12" customHeight="1" spans="2:9">
      <c r="B51" s="107" t="s">
        <v>188</v>
      </c>
      <c r="C51" s="116"/>
      <c r="D51" s="116"/>
      <c r="E51" s="116"/>
      <c r="F51" s="116"/>
      <c r="G51" s="116"/>
      <c r="H51" s="39"/>
      <c r="I51" s="39"/>
    </row>
    <row r="52" ht="13.5" hidden="1" customHeight="1" spans="2:9">
      <c r="B52" s="107"/>
      <c r="C52" s="116"/>
      <c r="D52" s="116"/>
      <c r="E52" s="116"/>
      <c r="F52" s="116"/>
      <c r="G52" s="116"/>
      <c r="H52" s="39"/>
      <c r="I52" s="39"/>
    </row>
    <row r="53" ht="2.25" customHeight="1" spans="2:9">
      <c r="B53" s="107"/>
      <c r="C53" s="107"/>
      <c r="D53" s="107"/>
      <c r="E53" s="107"/>
      <c r="F53" s="107"/>
      <c r="G53" s="107"/>
      <c r="H53" s="39"/>
      <c r="I53" s="39"/>
    </row>
    <row r="54" ht="9" customHeight="1" spans="2:9">
      <c r="B54" s="107"/>
      <c r="C54" s="107"/>
      <c r="D54" s="107"/>
      <c r="E54" s="107"/>
      <c r="F54" s="107"/>
      <c r="G54" s="107"/>
      <c r="H54" s="39"/>
      <c r="I54" s="39"/>
    </row>
    <row r="55" ht="13.5" customHeight="1" spans="2:9">
      <c r="B55" s="117"/>
      <c r="D55" s="107"/>
      <c r="E55" s="117"/>
      <c r="H55" s="39"/>
      <c r="I55" s="39"/>
    </row>
    <row r="56" ht="13.5" customHeight="1" spans="2:9">
      <c r="B56" s="117"/>
      <c r="D56" s="107"/>
      <c r="E56" s="118"/>
      <c r="H56" s="39"/>
      <c r="I56" s="39"/>
    </row>
    <row r="57" ht="13.5" customHeight="1" spans="2:9">
      <c r="B57" s="115" t="s">
        <v>189</v>
      </c>
      <c r="D57" s="107"/>
      <c r="E57" s="119" t="s">
        <v>190</v>
      </c>
      <c r="H57" s="39"/>
      <c r="I57" s="39"/>
    </row>
    <row r="58" ht="13.5" customHeight="1" spans="2:9">
      <c r="B58" s="120" t="s">
        <v>191</v>
      </c>
      <c r="D58" s="107"/>
      <c r="E58" s="115" t="s">
        <v>192</v>
      </c>
      <c r="H58" s="39"/>
      <c r="I58" s="39"/>
    </row>
    <row r="59" ht="13.5" customHeight="1" spans="2:9">
      <c r="B59" s="107" t="s">
        <v>193</v>
      </c>
      <c r="D59" s="107"/>
      <c r="E59" s="107" t="s">
        <v>193</v>
      </c>
      <c r="H59" s="39"/>
      <c r="I59" s="39"/>
    </row>
    <row r="60" ht="9" customHeight="1" spans="2:9">
      <c r="B60" s="119"/>
      <c r="C60" s="119"/>
      <c r="D60" s="119"/>
      <c r="E60" s="119"/>
      <c r="F60" s="119"/>
      <c r="G60" s="119"/>
      <c r="H60" s="39"/>
      <c r="I60" s="39"/>
    </row>
    <row r="61" ht="13.5" customHeight="1"/>
    <row r="62" ht="13.5" customHeight="1"/>
  </sheetData>
  <mergeCells count="73">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7:E37"/>
    <mergeCell ref="E38:H38"/>
    <mergeCell ref="C43:D43"/>
    <mergeCell ref="C6:C7"/>
    <mergeCell ref="C12:C13"/>
    <mergeCell ref="E6:E7"/>
    <mergeCell ref="E12:E13"/>
    <mergeCell ref="F11:F12"/>
    <mergeCell ref="G11:G12"/>
    <mergeCell ref="G36:G37"/>
    <mergeCell ref="C2:E3"/>
    <mergeCell ref="C4:E5"/>
    <mergeCell ref="H46:I60"/>
    <mergeCell ref="C50:G52"/>
    <mergeCell ref="C8:E9"/>
    <mergeCell ref="C10:E11"/>
    <mergeCell ref="D40:I42"/>
    <mergeCell ref="H43:I44"/>
    <mergeCell ref="H36:I37"/>
    <mergeCell ref="H11:I12"/>
  </mergeCells>
  <pageMargins left="0.2" right="0.2" top="0.28" bottom="0.24" header="0.24" footer="0.08"/>
  <pageSetup paperSize="9" orientation="portrait"/>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H17"/>
  <sheetViews>
    <sheetView showZeros="0" view="pageBreakPreview" zoomScaleNormal="100" workbookViewId="0">
      <selection activeCell="F33" sqref="F33"/>
    </sheetView>
  </sheetViews>
  <sheetFormatPr defaultColWidth="9" defaultRowHeight="14.25" outlineLevelCol="7"/>
  <cols>
    <col min="1" max="1" width="9" style="7"/>
    <col min="2" max="2" width="12.25" style="7" customWidth="1"/>
    <col min="3" max="3" width="14" style="7" customWidth="1"/>
    <col min="4" max="4" width="10.625" style="7" customWidth="1"/>
    <col min="5" max="5" width="10.125" style="7" customWidth="1"/>
    <col min="6" max="6" width="10.375" style="8" customWidth="1"/>
    <col min="7" max="7" width="13.875" style="7" customWidth="1"/>
    <col min="8" max="8" width="38" style="7" customWidth="1"/>
    <col min="9" max="16384" width="9" style="9"/>
  </cols>
  <sheetData>
    <row r="1" s="5" customFormat="1" spans="1:8">
      <c r="A1" s="10" t="s">
        <v>194</v>
      </c>
      <c r="F1" s="11"/>
    </row>
    <row r="2" s="5" customFormat="1" spans="1:8">
      <c r="A2" s="12" t="s">
        <v>195</v>
      </c>
      <c r="F2" s="11"/>
    </row>
    <row r="3" s="5" customFormat="1" spans="1:8">
      <c r="A3" s="13" t="s">
        <v>196</v>
      </c>
      <c r="F3" s="11"/>
    </row>
    <row r="4" s="5" customFormat="1" spans="1:8">
      <c r="B4" s="14"/>
      <c r="C4" s="15" t="s">
        <v>76</v>
      </c>
      <c r="F4" s="11"/>
    </row>
    <row r="5" s="5" customFormat="1" spans="1:8">
      <c r="A5" s="5" t="s">
        <v>197</v>
      </c>
      <c r="B5" s="14"/>
      <c r="C5" s="14" t="s">
        <v>79</v>
      </c>
      <c r="F5" s="11"/>
    </row>
    <row r="6" s="5" customFormat="1" spans="1:8">
      <c r="F6" s="11"/>
    </row>
    <row r="8" ht="25.5" spans="1:8">
      <c r="A8" s="16" t="s">
        <v>198</v>
      </c>
      <c r="B8" s="16"/>
      <c r="C8" s="16"/>
      <c r="D8" s="16"/>
      <c r="E8" s="16"/>
      <c r="F8" s="17"/>
      <c r="G8" s="16"/>
      <c r="H8" s="16"/>
    </row>
    <row r="9" s="6" customFormat="1" ht="12" spans="1:8">
      <c r="A9" s="18" t="s">
        <v>199</v>
      </c>
      <c r="B9" s="19" t="s">
        <v>200</v>
      </c>
      <c r="C9" s="19" t="s">
        <v>201</v>
      </c>
      <c r="D9" s="19" t="s">
        <v>202</v>
      </c>
      <c r="E9" s="19" t="s">
        <v>203</v>
      </c>
      <c r="F9" s="20" t="s">
        <v>204</v>
      </c>
      <c r="G9" s="19" t="s">
        <v>205</v>
      </c>
      <c r="H9" s="19" t="s">
        <v>206</v>
      </c>
    </row>
    <row r="10" ht="21.75" customHeight="1" spans="1:8">
      <c r="A10" s="21">
        <v>1</v>
      </c>
      <c r="B10" s="22"/>
      <c r="C10" s="23"/>
      <c r="D10" s="22"/>
      <c r="E10" s="24"/>
      <c r="F10" s="25"/>
      <c r="G10" s="26"/>
      <c r="H10" s="22"/>
    </row>
    <row r="11" ht="22.5" customHeight="1" spans="1:8">
      <c r="A11" s="21">
        <v>2</v>
      </c>
      <c r="B11" s="27"/>
      <c r="C11" s="23"/>
      <c r="D11" s="22"/>
      <c r="E11" s="24"/>
      <c r="F11" s="25"/>
      <c r="G11" s="26"/>
      <c r="H11" s="22"/>
    </row>
    <row r="12" ht="22.5" customHeight="1" spans="1:8">
      <c r="A12" s="21">
        <v>3</v>
      </c>
      <c r="B12" s="27"/>
      <c r="C12" s="21"/>
      <c r="D12" s="27"/>
      <c r="E12" s="28"/>
      <c r="F12" s="29"/>
      <c r="G12" s="30"/>
      <c r="H12" s="27"/>
    </row>
    <row r="13" ht="22.5" customHeight="1" spans="1:8">
      <c r="A13" s="21">
        <v>4</v>
      </c>
      <c r="B13" s="27"/>
      <c r="C13" s="21"/>
      <c r="D13" s="27"/>
      <c r="E13" s="28"/>
      <c r="F13" s="29"/>
      <c r="G13" s="30"/>
      <c r="H13" s="27"/>
    </row>
    <row r="14" spans="1:8">
      <c r="A14" s="21">
        <v>5</v>
      </c>
      <c r="B14" s="21"/>
      <c r="C14" s="21"/>
      <c r="D14" s="21"/>
      <c r="E14" s="21"/>
      <c r="F14" s="29"/>
      <c r="G14" s="21"/>
      <c r="H14" s="21"/>
    </row>
    <row r="15" spans="1:8">
      <c r="A15" s="21">
        <v>6</v>
      </c>
      <c r="B15" s="21"/>
      <c r="C15" s="21"/>
      <c r="D15" s="21"/>
      <c r="E15" s="21"/>
      <c r="F15" s="31"/>
      <c r="G15" s="21"/>
      <c r="H15" s="21"/>
    </row>
    <row r="16" spans="1:8">
      <c r="A16" s="21">
        <v>7</v>
      </c>
      <c r="B16" s="21"/>
      <c r="C16" s="21"/>
      <c r="D16" s="21"/>
      <c r="E16" s="21"/>
      <c r="F16" s="31"/>
      <c r="G16" s="21"/>
      <c r="H16" s="21"/>
    </row>
    <row r="17" spans="1:8">
      <c r="A17" s="21">
        <v>8</v>
      </c>
      <c r="B17" s="21"/>
      <c r="C17" s="21"/>
      <c r="D17" s="21"/>
      <c r="E17" s="21"/>
      <c r="F17" s="31"/>
      <c r="G17" s="21"/>
      <c r="H17" s="21"/>
    </row>
  </sheetData>
  <mergeCells count="1">
    <mergeCell ref="A8:H8"/>
  </mergeCells>
  <hyperlinks>
    <hyperlink ref="B4" r:id="rId2"/>
    <hyperlink ref="C5" r:id="rId3" display="http://www.hscode.net/IntegrateQueries/QueryYS/"/>
    <hyperlink ref="C4" r:id="rId2" display="https://e-service.shciq.gov.cn/shesp/"/>
  </hyperlinks>
  <pageMargins left="0.39" right="0.39" top="0.43" bottom="1" header="0.24" footer="0.51"/>
  <pageSetup paperSize="9"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B91"/>
  <sheetViews>
    <sheetView topLeftCell="A52" workbookViewId="0">
      <selection activeCell="B80" sqref="B80"/>
    </sheetView>
  </sheetViews>
  <sheetFormatPr defaultColWidth="9" defaultRowHeight="14.25" outlineLevelCol="1"/>
  <cols>
    <col min="1" max="1" width="22.125" style="1" customWidth="1"/>
    <col min="2" max="2" width="179.25" style="1" customWidth="1"/>
    <col min="3" max="16384" width="9" style="1"/>
  </cols>
  <sheetData>
    <row r="1" spans="1:2">
      <c r="A1" s="1" t="s">
        <v>207</v>
      </c>
      <c r="B1" s="1" t="s">
        <v>208</v>
      </c>
    </row>
    <row r="3" spans="1:2">
      <c r="A3" s="1" t="s">
        <v>209</v>
      </c>
      <c r="B3" s="1" t="s">
        <v>210</v>
      </c>
    </row>
    <row r="5" spans="1:2">
      <c r="A5" s="2" t="s">
        <v>211</v>
      </c>
      <c r="B5" s="1" t="s">
        <v>212</v>
      </c>
    </row>
    <row r="7" spans="1:2">
      <c r="A7" s="1" t="s">
        <v>10</v>
      </c>
      <c r="B7" s="1" t="s">
        <v>213</v>
      </c>
    </row>
    <row r="9" spans="1:2">
      <c r="A9" s="2" t="s">
        <v>214</v>
      </c>
      <c r="B9" s="2" t="s">
        <v>215</v>
      </c>
    </row>
    <row r="11" spans="1:2">
      <c r="A11" s="2" t="s">
        <v>216</v>
      </c>
      <c r="B11" s="3" t="s">
        <v>217</v>
      </c>
    </row>
    <row r="13" spans="1:2">
      <c r="A13" s="1" t="s">
        <v>218</v>
      </c>
      <c r="B13" s="1" t="s">
        <v>219</v>
      </c>
    </row>
    <row r="15" spans="1:2">
      <c r="A15" s="1" t="s">
        <v>220</v>
      </c>
      <c r="B15" s="1" t="s">
        <v>221</v>
      </c>
    </row>
    <row r="17" spans="1:2">
      <c r="A17" s="1" t="s">
        <v>32</v>
      </c>
      <c r="B17" s="1" t="s">
        <v>222</v>
      </c>
    </row>
    <row r="19" spans="1:2">
      <c r="A19" s="3" t="s">
        <v>223</v>
      </c>
      <c r="B19" s="3" t="s">
        <v>224</v>
      </c>
    </row>
    <row r="21" spans="1:2">
      <c r="A21" s="1" t="s">
        <v>40</v>
      </c>
      <c r="B21" s="1" t="s">
        <v>225</v>
      </c>
    </row>
    <row r="23" spans="1:2">
      <c r="A23" s="4" t="s">
        <v>41</v>
      </c>
      <c r="B23" s="3" t="s">
        <v>226</v>
      </c>
    </row>
    <row r="25" spans="1:2">
      <c r="A25" s="1" t="s">
        <v>227</v>
      </c>
      <c r="B25" s="1" t="s">
        <v>228</v>
      </c>
    </row>
    <row r="27" spans="1:2">
      <c r="A27" s="1" t="s">
        <v>229</v>
      </c>
      <c r="B27" s="1" t="s">
        <v>230</v>
      </c>
    </row>
    <row r="29" spans="1:2">
      <c r="A29" s="2" t="s">
        <v>231</v>
      </c>
      <c r="B29" s="3" t="s">
        <v>232</v>
      </c>
    </row>
    <row r="31" spans="1:2">
      <c r="A31" s="1" t="s">
        <v>233</v>
      </c>
      <c r="B31" s="3" t="s">
        <v>234</v>
      </c>
    </row>
    <row r="33" spans="1:2">
      <c r="A33" s="1" t="s">
        <v>235</v>
      </c>
      <c r="B33" s="1" t="s">
        <v>236</v>
      </c>
    </row>
    <row r="35" spans="1:2">
      <c r="A35" s="1" t="s">
        <v>237</v>
      </c>
      <c r="B35" s="1" t="s">
        <v>238</v>
      </c>
    </row>
    <row r="37" spans="1:2">
      <c r="A37" s="1" t="s">
        <v>52</v>
      </c>
      <c r="B37" s="1" t="s">
        <v>239</v>
      </c>
    </row>
    <row r="39" spans="1:2">
      <c r="A39" s="1" t="s">
        <v>53</v>
      </c>
      <c r="B39" s="1" t="s">
        <v>240</v>
      </c>
    </row>
    <row r="41" spans="1:2">
      <c r="A41" s="1" t="s">
        <v>54</v>
      </c>
      <c r="B41" s="1" t="s">
        <v>241</v>
      </c>
    </row>
    <row r="43" spans="1:2">
      <c r="A43" s="1" t="s">
        <v>55</v>
      </c>
      <c r="B43" s="1" t="s">
        <v>242</v>
      </c>
    </row>
    <row r="45" spans="1:2">
      <c r="A45" s="1" t="s">
        <v>56</v>
      </c>
      <c r="B45" s="1" t="s">
        <v>243</v>
      </c>
    </row>
    <row r="47" spans="1:2">
      <c r="A47" s="1" t="s">
        <v>58</v>
      </c>
      <c r="B47" s="1" t="s">
        <v>244</v>
      </c>
    </row>
    <row r="49" spans="1:2">
      <c r="A49" s="1" t="s">
        <v>59</v>
      </c>
      <c r="B49" s="1" t="s">
        <v>245</v>
      </c>
    </row>
    <row r="51" spans="1:2">
      <c r="A51" s="1" t="s">
        <v>60</v>
      </c>
      <c r="B51" s="1" t="s">
        <v>246</v>
      </c>
    </row>
    <row r="53" spans="1:2">
      <c r="A53" s="1" t="s">
        <v>68</v>
      </c>
      <c r="B53" s="1" t="s">
        <v>247</v>
      </c>
    </row>
    <row r="55" spans="1:2">
      <c r="A55" s="1" t="s">
        <v>248</v>
      </c>
      <c r="B55" s="1" t="s">
        <v>249</v>
      </c>
    </row>
    <row r="57" spans="1:2">
      <c r="A57" s="1" t="s">
        <v>89</v>
      </c>
      <c r="B57" s="1" t="s">
        <v>250</v>
      </c>
    </row>
    <row r="59" spans="1:2">
      <c r="A59" s="2" t="s">
        <v>90</v>
      </c>
      <c r="B59" s="2" t="s">
        <v>251</v>
      </c>
    </row>
    <row r="61" spans="1:2">
      <c r="A61" s="1" t="s">
        <v>91</v>
      </c>
      <c r="B61" s="1" t="s">
        <v>252</v>
      </c>
    </row>
    <row r="63" spans="1:2">
      <c r="A63" s="4" t="s">
        <v>204</v>
      </c>
      <c r="B63" s="1" t="s">
        <v>253</v>
      </c>
    </row>
    <row r="65" spans="1:2">
      <c r="A65" s="4" t="s">
        <v>205</v>
      </c>
      <c r="B65" s="1" t="s">
        <v>254</v>
      </c>
    </row>
    <row r="67" spans="1:2">
      <c r="A67" s="1" t="s">
        <v>92</v>
      </c>
      <c r="B67" s="3" t="s">
        <v>255</v>
      </c>
    </row>
    <row r="69" spans="1:2">
      <c r="A69" s="1" t="s">
        <v>256</v>
      </c>
      <c r="B69" s="3" t="s">
        <v>257</v>
      </c>
    </row>
    <row r="71" spans="1:2">
      <c r="A71" s="1" t="s">
        <v>258</v>
      </c>
      <c r="B71" s="3" t="s">
        <v>259</v>
      </c>
    </row>
    <row r="73" spans="1:2">
      <c r="A73" s="1" t="s">
        <v>260</v>
      </c>
      <c r="B73" s="1" t="s">
        <v>261</v>
      </c>
    </row>
    <row r="75" spans="1:2">
      <c r="A75" s="1" t="s">
        <v>94</v>
      </c>
      <c r="B75" s="1" t="s">
        <v>262</v>
      </c>
    </row>
    <row r="77" spans="1:2">
      <c r="A77" s="1" t="s">
        <v>95</v>
      </c>
      <c r="B77" s="3" t="s">
        <v>263</v>
      </c>
    </row>
    <row r="79" spans="1:2">
      <c r="A79" s="1" t="s">
        <v>264</v>
      </c>
      <c r="B79" s="1" t="s">
        <v>265</v>
      </c>
    </row>
    <row r="81" spans="1:2">
      <c r="A81" s="1" t="s">
        <v>266</v>
      </c>
      <c r="B81" s="3" t="s">
        <v>267</v>
      </c>
    </row>
    <row r="83" spans="1:2">
      <c r="A83" s="1" t="s">
        <v>97</v>
      </c>
      <c r="B83" s="1" t="s">
        <v>268</v>
      </c>
    </row>
    <row r="85" spans="1:2">
      <c r="A85" s="4" t="s">
        <v>269</v>
      </c>
      <c r="B85" s="2" t="s">
        <v>270</v>
      </c>
    </row>
    <row r="86" spans="1:2">
      <c r="A86" s="4"/>
    </row>
    <row r="87" spans="1:2">
      <c r="A87" s="4" t="s">
        <v>271</v>
      </c>
      <c r="B87" s="2" t="s">
        <v>272</v>
      </c>
    </row>
    <row r="88" spans="1:2">
      <c r="A88" s="4"/>
    </row>
    <row r="89" spans="1:2">
      <c r="A89" s="4" t="s">
        <v>273</v>
      </c>
      <c r="B89" s="2" t="s">
        <v>274</v>
      </c>
    </row>
    <row r="90" spans="1:2">
      <c r="A90" s="2"/>
    </row>
    <row r="91" spans="1:2">
      <c r="A91" s="2" t="s">
        <v>275</v>
      </c>
      <c r="B91" s="1" t="s">
        <v>276</v>
      </c>
    </row>
  </sheetData>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报关单</vt:lpstr>
      <vt:lpstr>发票</vt:lpstr>
      <vt:lpstr>箱单</vt:lpstr>
      <vt:lpstr>合同</vt:lpstr>
      <vt:lpstr>申报要素</vt:lpstr>
      <vt:lpstr>填制规范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张冠峰</cp:lastModifiedBy>
  <dcterms:created xsi:type="dcterms:W3CDTF">2018-07-03T02:44:00Z</dcterms:created>
  <cp:lastPrinted>2020-11-06T02:41:00Z</cp:lastPrinted>
  <dcterms:modified xsi:type="dcterms:W3CDTF">2026-09-01T07:04:05Z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KSOReadingLayout">
    <vt:bool>true</vt:bool>
  </property>
  <property fmtid="{D5CDD505-2E9C-101B-9397-08002B2CF9AE}" pid="4" name="ICV">
    <vt:lpwstr>16C91E6AB913472DB84C56B10379144A</vt:lpwstr>
  </property>
  <property fmtid="{D5CDD505-2E9C-101B-9397-08002B2CF9AE}" pid="5" name="CalculationRule">
    <vt:i4>0</vt:i4>
  </property>
</Properties>
</file>